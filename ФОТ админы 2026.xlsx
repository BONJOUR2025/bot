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C:\Users\hrbon\Desktop\telegram_bot\"/>
    </mc:Choice>
  </mc:AlternateContent>
  <xr:revisionPtr revIDLastSave="0" documentId="13_ncr:1_{58E10108-0A04-48AA-8C95-D80BA28FB0D6}" xr6:coauthVersionLast="47" xr6:coauthVersionMax="47" xr10:uidLastSave="{00000000-0000-0000-0000-000000000000}"/>
  <bookViews>
    <workbookView xWindow="-120" yWindow="-120" windowWidth="29040" windowHeight="16440" xr2:uid="{13769FEF-1C10-4C97-965A-1F6770732C7D}"/>
  </bookViews>
  <sheets>
    <sheet name="ЯНВАРЬ" sheetId="1" r:id="rId1"/>
    <sheet name="ФЕВРАЛЬ" sheetId="3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solver_eng" localSheetId="1" hidden="1">1</definedName>
    <definedName name="solver_eng" localSheetId="0" hidden="1">1</definedName>
    <definedName name="solver_lin" localSheetId="1" hidden="1">2</definedName>
    <definedName name="solver_lin" localSheetId="0" hidden="1">2</definedName>
    <definedName name="solver_neg" localSheetId="1" hidden="1">1</definedName>
    <definedName name="solver_neg" localSheetId="0" hidden="1">1</definedName>
    <definedName name="solver_num" localSheetId="1" hidden="1">0</definedName>
    <definedName name="solver_num" localSheetId="0" hidden="1">0</definedName>
    <definedName name="solver_opt" localSheetId="1" hidden="1">ФЕВРАЛЬ!$BB$42</definedName>
    <definedName name="solver_opt" localSheetId="0" hidden="1">ЯНВАРЬ!$BB$42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2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" i="3" l="1"/>
  <c r="D43" i="3"/>
  <c r="C43" i="3"/>
  <c r="I42" i="3"/>
  <c r="H42" i="3"/>
  <c r="G42" i="3"/>
  <c r="F42" i="3"/>
  <c r="E42" i="3"/>
  <c r="D42" i="3"/>
  <c r="C42" i="3"/>
  <c r="I41" i="3"/>
  <c r="H41" i="3"/>
  <c r="G41" i="3"/>
  <c r="F41" i="3"/>
  <c r="E41" i="3"/>
  <c r="D41" i="3"/>
  <c r="C41" i="3"/>
  <c r="I40" i="3"/>
  <c r="H40" i="3"/>
  <c r="G40" i="3"/>
  <c r="F40" i="3"/>
  <c r="E40" i="3"/>
  <c r="D40" i="3"/>
  <c r="C40" i="3"/>
  <c r="BF39" i="3"/>
  <c r="I39" i="3"/>
  <c r="H39" i="3"/>
  <c r="G39" i="3"/>
  <c r="F39" i="3"/>
  <c r="E39" i="3"/>
  <c r="D39" i="3"/>
  <c r="C39" i="3"/>
  <c r="AN37" i="3"/>
  <c r="AM37" i="3"/>
  <c r="AL37" i="3"/>
  <c r="AG37" i="3"/>
  <c r="AF37" i="3"/>
  <c r="AE37" i="3"/>
  <c r="Z37" i="3"/>
  <c r="Y37" i="3"/>
  <c r="X37" i="3"/>
  <c r="S37" i="3"/>
  <c r="R37" i="3"/>
  <c r="Q37" i="3"/>
  <c r="L37" i="3"/>
  <c r="K37" i="3"/>
  <c r="J37" i="3"/>
  <c r="E37" i="3"/>
  <c r="D37" i="3"/>
  <c r="C37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AJ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AJ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AJ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AJ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AJ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AR24" i="3"/>
  <c r="AR23" i="3" s="1"/>
  <c r="AR25" i="3" s="1"/>
  <c r="AJ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AJ23" i="3"/>
  <c r="AG23" i="3"/>
  <c r="AG30" i="3" s="1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CM22" i="3"/>
  <c r="CI22" i="3"/>
  <c r="CA22" i="3"/>
  <c r="BS22" i="3"/>
  <c r="BW21" i="3"/>
  <c r="BO21" i="3" a="1"/>
  <c r="BO21" i="3" s="1"/>
  <c r="BK21" i="3" a="1"/>
  <c r="BK21" i="3" s="1"/>
  <c r="BG21" i="3" a="1"/>
  <c r="BG21" i="3" s="1"/>
  <c r="BC21" i="3" a="1"/>
  <c r="BC21" i="3" s="1"/>
  <c r="AY21" i="3" a="1"/>
  <c r="AY21" i="3" s="1"/>
  <c r="AS21" i="3"/>
  <c r="BW20" i="3"/>
  <c r="BO20" i="3" a="1"/>
  <c r="BO20" i="3" s="1"/>
  <c r="BK20" i="3" a="1"/>
  <c r="BK20" i="3" s="1"/>
  <c r="BG20" i="3" a="1"/>
  <c r="BG20" i="3" s="1"/>
  <c r="BC20" i="3" a="1"/>
  <c r="BC20" i="3" s="1"/>
  <c r="AY20" i="3" a="1"/>
  <c r="AY20" i="3" s="1"/>
  <c r="AS20" i="3"/>
  <c r="AQ20" i="3" s="1"/>
  <c r="CU20" i="3" s="1"/>
  <c r="BW19" i="3"/>
  <c r="BO19" i="3" a="1"/>
  <c r="BO19" i="3" s="1"/>
  <c r="BK19" i="3" a="1"/>
  <c r="BK19" i="3" s="1"/>
  <c r="BG19" i="3" a="1"/>
  <c r="BG19" i="3" s="1"/>
  <c r="BC19" i="3" a="1"/>
  <c r="BC19" i="3" s="1"/>
  <c r="AY19" i="3" a="1"/>
  <c r="AY19" i="3" s="1"/>
  <c r="AS19" i="3"/>
  <c r="BW18" i="3"/>
  <c r="BO18" i="3" a="1"/>
  <c r="BO18" i="3" s="1"/>
  <c r="BK18" i="3" a="1"/>
  <c r="BK18" i="3" s="1"/>
  <c r="BG18" i="3" a="1"/>
  <c r="BG18" i="3" s="1"/>
  <c r="BC18" i="3" a="1"/>
  <c r="BC18" i="3" s="1"/>
  <c r="AY18" i="3" a="1"/>
  <c r="AY18" i="3" s="1"/>
  <c r="AU18" i="3"/>
  <c r="BW17" i="3"/>
  <c r="BK17" i="3" a="1"/>
  <c r="BK17" i="3" s="1"/>
  <c r="BG17" i="3" a="1"/>
  <c r="BG17" i="3" s="1"/>
  <c r="BC17" i="3" a="1"/>
  <c r="BC17" i="3" s="1"/>
  <c r="AY17" i="3" a="1"/>
  <c r="AY17" i="3" s="1"/>
  <c r="AS17" i="3"/>
  <c r="AQ17" i="3" s="1"/>
  <c r="CU17" i="3" s="1"/>
  <c r="BW16" i="3"/>
  <c r="BO16" i="3" a="1"/>
  <c r="BO16" i="3" s="1"/>
  <c r="BK16" i="3" a="1"/>
  <c r="BK16" i="3" s="1"/>
  <c r="BG16" i="3" a="1"/>
  <c r="BG16" i="3" s="1"/>
  <c r="BC16" i="3" a="1"/>
  <c r="BC16" i="3" s="1"/>
  <c r="AY16" i="3" a="1"/>
  <c r="AY16" i="3" s="1"/>
  <c r="AS16" i="3"/>
  <c r="AQ16" i="3" s="1"/>
  <c r="CU16" i="3" s="1"/>
  <c r="BW15" i="3"/>
  <c r="BO15" i="3" a="1"/>
  <c r="BO15" i="3" s="1"/>
  <c r="BK15" i="3" a="1"/>
  <c r="BK15" i="3" s="1"/>
  <c r="BG15" i="3" a="1"/>
  <c r="BG15" i="3" s="1"/>
  <c r="BC15" i="3" a="1"/>
  <c r="BC15" i="3" s="1"/>
  <c r="AY15" i="3" a="1"/>
  <c r="AY15" i="3" s="1"/>
  <c r="AS15" i="3"/>
  <c r="AQ15" i="3" s="1"/>
  <c r="BW14" i="3"/>
  <c r="BK14" i="3" a="1"/>
  <c r="BK14" i="3" s="1"/>
  <c r="BG14" i="3" a="1"/>
  <c r="BG14" i="3" s="1"/>
  <c r="BC14" i="3" a="1"/>
  <c r="BC14" i="3" s="1"/>
  <c r="AY14" i="3" a="1"/>
  <c r="AY14" i="3" s="1"/>
  <c r="AS14" i="3"/>
  <c r="AQ14" i="3" s="1"/>
  <c r="CU14" i="3" s="1"/>
  <c r="BW13" i="3"/>
  <c r="BO13" i="3" a="1"/>
  <c r="BO13" i="3" s="1"/>
  <c r="BK13" i="3" a="1"/>
  <c r="BK13" i="3" s="1"/>
  <c r="BG13" i="3" a="1"/>
  <c r="BG13" i="3" s="1"/>
  <c r="BC13" i="3" a="1"/>
  <c r="BC13" i="3" s="1"/>
  <c r="AY13" i="3" a="1"/>
  <c r="AY13" i="3" s="1"/>
  <c r="AS13" i="3"/>
  <c r="AQ13" i="3" s="1"/>
  <c r="CU13" i="3" s="1"/>
  <c r="BW12" i="3"/>
  <c r="BO12" i="3" a="1"/>
  <c r="BO12" i="3" s="1"/>
  <c r="BK12" i="3" a="1"/>
  <c r="BK12" i="3" s="1"/>
  <c r="BG12" i="3" a="1"/>
  <c r="BG12" i="3" s="1"/>
  <c r="BC12" i="3" a="1"/>
  <c r="BC12" i="3" s="1"/>
  <c r="AY12" i="3" a="1"/>
  <c r="AY12" i="3" s="1"/>
  <c r="AS12" i="3"/>
  <c r="AQ12" i="3" s="1"/>
  <c r="CU12" i="3" s="1"/>
  <c r="BW11" i="3"/>
  <c r="BO11" i="3" a="1"/>
  <c r="BO11" i="3" s="1"/>
  <c r="BK11" i="3" a="1"/>
  <c r="BK11" i="3" s="1"/>
  <c r="BG11" i="3" a="1"/>
  <c r="BG11" i="3" s="1"/>
  <c r="BC11" i="3" a="1"/>
  <c r="BC11" i="3" s="1"/>
  <c r="AY11" i="3" a="1"/>
  <c r="AY11" i="3" s="1"/>
  <c r="AS11" i="3"/>
  <c r="AQ11" i="3" s="1"/>
  <c r="CU11" i="3" s="1"/>
  <c r="BW10" i="3"/>
  <c r="BO10" i="3" a="1"/>
  <c r="BO10" i="3" s="1"/>
  <c r="BK10" i="3" a="1"/>
  <c r="BK10" i="3" s="1"/>
  <c r="BG10" i="3" a="1"/>
  <c r="BG10" i="3" s="1"/>
  <c r="BC10" i="3" a="1"/>
  <c r="BC10" i="3" s="1"/>
  <c r="AY10" i="3" a="1"/>
  <c r="AY10" i="3" s="1"/>
  <c r="AS10" i="3"/>
  <c r="AQ10" i="3" s="1"/>
  <c r="CU10" i="3" s="1"/>
  <c r="BW9" i="3"/>
  <c r="BO9" i="3" a="1"/>
  <c r="BO9" i="3" s="1"/>
  <c r="BK9" i="3" a="1"/>
  <c r="BK9" i="3" s="1"/>
  <c r="BG9" i="3" a="1"/>
  <c r="BG9" i="3" s="1"/>
  <c r="BC9" i="3" a="1"/>
  <c r="BC9" i="3" s="1"/>
  <c r="AY9" i="3" a="1"/>
  <c r="AY9" i="3" s="1"/>
  <c r="AS9" i="3"/>
  <c r="AQ9" i="3" s="1"/>
  <c r="CU9" i="3" s="1"/>
  <c r="BW8" i="3"/>
  <c r="BO8" i="3" a="1"/>
  <c r="BO8" i="3" s="1"/>
  <c r="BK8" i="3" a="1"/>
  <c r="BK8" i="3" s="1"/>
  <c r="BG8" i="3" a="1"/>
  <c r="BG8" i="3" s="1"/>
  <c r="BC8" i="3" a="1"/>
  <c r="BC8" i="3" s="1"/>
  <c r="AY8" i="3" a="1"/>
  <c r="AY8" i="3" s="1"/>
  <c r="AS8" i="3"/>
  <c r="AQ8" i="3" s="1"/>
  <c r="CU8" i="3" s="1"/>
  <c r="BW7" i="3"/>
  <c r="BO7" i="3" a="1"/>
  <c r="BO7" i="3" s="1"/>
  <c r="BK7" i="3" a="1"/>
  <c r="BK7" i="3" s="1"/>
  <c r="BG7" i="3" a="1"/>
  <c r="BG7" i="3" s="1"/>
  <c r="BC7" i="3" a="1"/>
  <c r="BC7" i="3" s="1"/>
  <c r="AY7" i="3" a="1"/>
  <c r="AY7" i="3" s="1"/>
  <c r="AS7" i="3"/>
  <c r="AQ7" i="3" s="1"/>
  <c r="CU7" i="3" s="1"/>
  <c r="BW6" i="3"/>
  <c r="BO6" i="3" a="1"/>
  <c r="BO6" i="3" s="1"/>
  <c r="BK6" i="3" a="1"/>
  <c r="BK6" i="3" s="1"/>
  <c r="BG6" i="3" a="1"/>
  <c r="BG6" i="3" s="1"/>
  <c r="BC6" i="3" a="1"/>
  <c r="BC6" i="3" s="1"/>
  <c r="AY6" i="3" a="1"/>
  <c r="AY6" i="3" s="1"/>
  <c r="AS6" i="3"/>
  <c r="AQ6" i="3" s="1"/>
  <c r="CU6" i="3" s="1"/>
  <c r="BW5" i="3"/>
  <c r="BO5" i="3" a="1"/>
  <c r="BO5" i="3" s="1"/>
  <c r="BK5" i="3" a="1"/>
  <c r="BK5" i="3" s="1"/>
  <c r="BG5" i="3" a="1"/>
  <c r="BG5" i="3" s="1"/>
  <c r="BC5" i="3" a="1"/>
  <c r="BC5" i="3" s="1"/>
  <c r="AY5" i="3" a="1"/>
  <c r="AY5" i="3" s="1"/>
  <c r="AS5" i="3"/>
  <c r="AQ5" i="3" s="1"/>
  <c r="CU5" i="3" s="1"/>
  <c r="BW4" i="3"/>
  <c r="BO4" i="3" a="1"/>
  <c r="BO4" i="3" s="1"/>
  <c r="BK4" i="3" a="1"/>
  <c r="BK4" i="3" s="1"/>
  <c r="BG4" i="3" a="1"/>
  <c r="BG4" i="3" s="1"/>
  <c r="BC4" i="3" a="1"/>
  <c r="BC4" i="3" s="1"/>
  <c r="AY4" i="3" a="1"/>
  <c r="AY4" i="3" s="1"/>
  <c r="AS4" i="3"/>
  <c r="AQ4" i="3" s="1"/>
  <c r="CU4" i="3" s="1"/>
  <c r="BW3" i="3"/>
  <c r="BK3" i="3" a="1"/>
  <c r="BK3" i="3" s="1"/>
  <c r="BG3" i="3" a="1"/>
  <c r="BG3" i="3" s="1"/>
  <c r="BC3" i="3" a="1"/>
  <c r="BC3" i="3" s="1"/>
  <c r="AY3" i="3" a="1"/>
  <c r="AY3" i="3" s="1"/>
  <c r="AS3" i="3"/>
  <c r="AQ3" i="3" s="1"/>
  <c r="BG4" i="1" a="1"/>
  <c r="BG4" i="1" s="1"/>
  <c r="BG5" i="1" a="1"/>
  <c r="BG5" i="1" s="1"/>
  <c r="BG6" i="1" a="1"/>
  <c r="BG6" i="1" s="1"/>
  <c r="BG7" i="1" a="1"/>
  <c r="BG7" i="1" s="1"/>
  <c r="BG9" i="1" a="1"/>
  <c r="BG9" i="1" s="1"/>
  <c r="BG10" i="1" a="1"/>
  <c r="BG10" i="1" s="1"/>
  <c r="BG11" i="1" a="1"/>
  <c r="BG11" i="1" s="1"/>
  <c r="BG12" i="1" a="1"/>
  <c r="BG12" i="1" s="1"/>
  <c r="BG13" i="1" a="1"/>
  <c r="BG13" i="1" s="1"/>
  <c r="BG14" i="1" a="1"/>
  <c r="BG14" i="1" s="1"/>
  <c r="BG15" i="1" a="1"/>
  <c r="BG15" i="1" s="1"/>
  <c r="BG16" i="1" a="1"/>
  <c r="BG16" i="1" s="1"/>
  <c r="BG17" i="1" a="1"/>
  <c r="BG17" i="1" s="1"/>
  <c r="BG18" i="1" a="1"/>
  <c r="BG18" i="1" s="1"/>
  <c r="BG19" i="1" a="1"/>
  <c r="BG19" i="1" s="1"/>
  <c r="BG20" i="1" a="1"/>
  <c r="BG20" i="1" s="1"/>
  <c r="BG3" i="1" a="1"/>
  <c r="BG3" i="1" s="1"/>
  <c r="BG21" i="1" a="1"/>
  <c r="BG21" i="1" s="1"/>
  <c r="O30" i="3" l="1"/>
  <c r="Q30" i="3"/>
  <c r="I30" i="3"/>
  <c r="K30" i="3"/>
  <c r="AC30" i="3"/>
  <c r="U30" i="3"/>
  <c r="W30" i="3"/>
  <c r="E30" i="3"/>
  <c r="AA30" i="3"/>
  <c r="C30" i="3"/>
  <c r="H30" i="3"/>
  <c r="N30" i="3"/>
  <c r="T30" i="3"/>
  <c r="Z30" i="3"/>
  <c r="AF30" i="3"/>
  <c r="D30" i="3"/>
  <c r="J30" i="3"/>
  <c r="P30" i="3"/>
  <c r="V30" i="3"/>
  <c r="AB30" i="3"/>
  <c r="AJ30" i="3"/>
  <c r="AR22" i="3"/>
  <c r="BW22" i="3"/>
  <c r="F30" i="3"/>
  <c r="L30" i="3"/>
  <c r="R30" i="3"/>
  <c r="X30" i="3"/>
  <c r="AD30" i="3"/>
  <c r="G30" i="3"/>
  <c r="M30" i="3"/>
  <c r="S30" i="3"/>
  <c r="Y30" i="3"/>
  <c r="AE30" i="3"/>
  <c r="CQ18" i="3"/>
  <c r="BK22" i="3"/>
  <c r="AO15" i="3"/>
  <c r="AU15" i="3" s="1"/>
  <c r="CU15" i="3"/>
  <c r="BO22" i="3"/>
  <c r="CU3" i="3"/>
  <c r="AO3" i="3"/>
  <c r="AU3" i="3" s="1"/>
  <c r="AY22" i="3"/>
  <c r="BC22" i="3"/>
  <c r="BG22" i="3"/>
  <c r="AO16" i="3"/>
  <c r="AU16" i="3" s="1"/>
  <c r="AO17" i="3"/>
  <c r="AU17" i="3" s="1"/>
  <c r="AO20" i="3"/>
  <c r="AU20" i="3" s="1"/>
  <c r="AQ19" i="3"/>
  <c r="CU19" i="3" s="1"/>
  <c r="AQ21" i="3"/>
  <c r="CU21" i="3" s="1"/>
  <c r="AO5" i="3"/>
  <c r="AU5" i="3" s="1"/>
  <c r="AO8" i="3"/>
  <c r="AU8" i="3" s="1"/>
  <c r="AO10" i="3"/>
  <c r="AU10" i="3" s="1"/>
  <c r="AO12" i="3"/>
  <c r="AU12" i="3" s="1"/>
  <c r="AO13" i="3"/>
  <c r="AU13" i="3" s="1"/>
  <c r="AO4" i="3"/>
  <c r="AU4" i="3" s="1"/>
  <c r="AO6" i="3"/>
  <c r="AU6" i="3" s="1"/>
  <c r="AO7" i="3"/>
  <c r="AU7" i="3" s="1"/>
  <c r="AO9" i="3"/>
  <c r="AU9" i="3" s="1"/>
  <c r="AO11" i="3"/>
  <c r="AU11" i="3" s="1"/>
  <c r="AO14" i="3"/>
  <c r="AU14" i="3" s="1"/>
  <c r="CE18" i="3"/>
  <c r="E43" i="1"/>
  <c r="D43" i="1"/>
  <c r="C43" i="1"/>
  <c r="I42" i="1"/>
  <c r="H42" i="1"/>
  <c r="G42" i="1"/>
  <c r="F42" i="1"/>
  <c r="E42" i="1"/>
  <c r="D42" i="1"/>
  <c r="C42" i="1"/>
  <c r="I41" i="1"/>
  <c r="H41" i="1"/>
  <c r="G41" i="1"/>
  <c r="F41" i="1"/>
  <c r="E41" i="1"/>
  <c r="D41" i="1"/>
  <c r="C41" i="1"/>
  <c r="I40" i="1"/>
  <c r="H40" i="1"/>
  <c r="G40" i="1"/>
  <c r="F40" i="1"/>
  <c r="E40" i="1"/>
  <c r="D40" i="1"/>
  <c r="C40" i="1"/>
  <c r="BF39" i="1"/>
  <c r="I39" i="1"/>
  <c r="H39" i="1"/>
  <c r="G39" i="1"/>
  <c r="F39" i="1"/>
  <c r="E39" i="1"/>
  <c r="D39" i="1"/>
  <c r="C39" i="1"/>
  <c r="AN37" i="1"/>
  <c r="AM37" i="1"/>
  <c r="AL37" i="1"/>
  <c r="AG37" i="1"/>
  <c r="AF37" i="1"/>
  <c r="AE37" i="1"/>
  <c r="Z37" i="1"/>
  <c r="Y37" i="1"/>
  <c r="X37" i="1"/>
  <c r="S37" i="1"/>
  <c r="R37" i="1"/>
  <c r="Q37" i="1"/>
  <c r="L37" i="1"/>
  <c r="K37" i="1"/>
  <c r="J37" i="1"/>
  <c r="E37" i="1"/>
  <c r="D37" i="1"/>
  <c r="C37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J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J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J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J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J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R24" i="1"/>
  <c r="AJ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J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CM22" i="1"/>
  <c r="CI22" i="1"/>
  <c r="CA22" i="1"/>
  <c r="BS22" i="1"/>
  <c r="BW21" i="1"/>
  <c r="BO21" i="1" a="1"/>
  <c r="BO21" i="1" s="1"/>
  <c r="BK21" i="1" a="1"/>
  <c r="BK21" i="1" s="1"/>
  <c r="BC21" i="1" a="1"/>
  <c r="BC21" i="1" s="1"/>
  <c r="AY21" i="1" a="1"/>
  <c r="AY21" i="1" s="1"/>
  <c r="AS21" i="1"/>
  <c r="AQ21" i="1" s="1"/>
  <c r="BW20" i="1"/>
  <c r="BO20" i="1" a="1"/>
  <c r="BO20" i="1" s="1"/>
  <c r="BK20" i="1" a="1"/>
  <c r="BK20" i="1" s="1"/>
  <c r="BC20" i="1" a="1"/>
  <c r="BC20" i="1" s="1"/>
  <c r="AY20" i="1" a="1"/>
  <c r="AY20" i="1" s="1"/>
  <c r="AS20" i="1"/>
  <c r="AQ20" i="1" s="1"/>
  <c r="BW19" i="1"/>
  <c r="BO19" i="1" a="1"/>
  <c r="BO19" i="1" s="1"/>
  <c r="BK19" i="1" a="1"/>
  <c r="BK19" i="1" s="1"/>
  <c r="BC19" i="1" a="1"/>
  <c r="BC19" i="1" s="1"/>
  <c r="AY19" i="1" a="1"/>
  <c r="AY19" i="1" s="1"/>
  <c r="AS19" i="1"/>
  <c r="AQ19" i="1" s="1"/>
  <c r="BW18" i="1"/>
  <c r="BO18" i="1" a="1"/>
  <c r="BO18" i="1" s="1"/>
  <c r="BK18" i="1" a="1"/>
  <c r="BK18" i="1" s="1"/>
  <c r="BC18" i="1" a="1"/>
  <c r="BC18" i="1" s="1"/>
  <c r="AY18" i="1" a="1"/>
  <c r="AY18" i="1" s="1"/>
  <c r="AU18" i="1"/>
  <c r="BW17" i="1"/>
  <c r="BK17" i="1" a="1"/>
  <c r="BK17" i="1" s="1"/>
  <c r="BC17" i="1" a="1"/>
  <c r="BC17" i="1" s="1"/>
  <c r="AY17" i="1" a="1"/>
  <c r="AY17" i="1" s="1"/>
  <c r="AS17" i="1"/>
  <c r="AQ17" i="1" s="1"/>
  <c r="CU17" i="1" s="1"/>
  <c r="BW16" i="1"/>
  <c r="BO16" i="1" a="1"/>
  <c r="BO16" i="1" s="1"/>
  <c r="BK16" i="1" a="1"/>
  <c r="BK16" i="1" s="1"/>
  <c r="BC16" i="1" a="1"/>
  <c r="BC16" i="1" s="1"/>
  <c r="AY16" i="1" a="1"/>
  <c r="AY16" i="1" s="1"/>
  <c r="AS16" i="1"/>
  <c r="AQ16" i="1" s="1"/>
  <c r="BW15" i="1"/>
  <c r="BO15" i="1" a="1"/>
  <c r="BO15" i="1" s="1"/>
  <c r="BK15" i="1" a="1"/>
  <c r="BK15" i="1" s="1"/>
  <c r="BC15" i="1" a="1"/>
  <c r="BC15" i="1" s="1"/>
  <c r="AY15" i="1" a="1"/>
  <c r="AY15" i="1" s="1"/>
  <c r="AS15" i="1"/>
  <c r="AQ15" i="1" s="1"/>
  <c r="BW14" i="1"/>
  <c r="BK14" i="1" a="1"/>
  <c r="BK14" i="1" s="1"/>
  <c r="BC14" i="1" a="1"/>
  <c r="BC14" i="1" s="1"/>
  <c r="AY14" i="1" a="1"/>
  <c r="AY14" i="1" s="1"/>
  <c r="AS14" i="1"/>
  <c r="AQ14" i="1" s="1"/>
  <c r="CU14" i="1" s="1"/>
  <c r="BW13" i="1"/>
  <c r="BO13" i="1" a="1"/>
  <c r="BO13" i="1" s="1"/>
  <c r="BK13" i="1" a="1"/>
  <c r="BK13" i="1" s="1"/>
  <c r="BC13" i="1" a="1"/>
  <c r="BC13" i="1" s="1"/>
  <c r="AY13" i="1" a="1"/>
  <c r="AY13" i="1" s="1"/>
  <c r="AS13" i="1"/>
  <c r="AQ13" i="1" s="1"/>
  <c r="CU13" i="1" s="1"/>
  <c r="BW12" i="1"/>
  <c r="BO12" i="1" a="1"/>
  <c r="BO12" i="1" s="1"/>
  <c r="BK12" i="1" a="1"/>
  <c r="BK12" i="1" s="1"/>
  <c r="BC12" i="1" a="1"/>
  <c r="BC12" i="1" s="1"/>
  <c r="AY12" i="1" a="1"/>
  <c r="AY12" i="1" s="1"/>
  <c r="AS12" i="1"/>
  <c r="AQ12" i="1" s="1"/>
  <c r="CU12" i="1" s="1"/>
  <c r="BW11" i="1"/>
  <c r="BO11" i="1" a="1"/>
  <c r="BO11" i="1" s="1"/>
  <c r="BK11" i="1" a="1"/>
  <c r="BK11" i="1" s="1"/>
  <c r="BC11" i="1" a="1"/>
  <c r="BC11" i="1" s="1"/>
  <c r="AY11" i="1" a="1"/>
  <c r="AY11" i="1" s="1"/>
  <c r="AS11" i="1"/>
  <c r="AQ11" i="1" s="1"/>
  <c r="CU11" i="1" s="1"/>
  <c r="BW10" i="1"/>
  <c r="BO10" i="1" a="1"/>
  <c r="BO10" i="1" s="1"/>
  <c r="BK10" i="1" a="1"/>
  <c r="BK10" i="1" s="1"/>
  <c r="BC10" i="1" a="1"/>
  <c r="BC10" i="1" s="1"/>
  <c r="AY10" i="1" a="1"/>
  <c r="AY10" i="1" s="1"/>
  <c r="AS10" i="1"/>
  <c r="AQ10" i="1" s="1"/>
  <c r="CU10" i="1" s="1"/>
  <c r="BW9" i="1"/>
  <c r="BO9" i="1" a="1"/>
  <c r="BO9" i="1" s="1"/>
  <c r="BK9" i="1" a="1"/>
  <c r="BK9" i="1" s="1"/>
  <c r="BC9" i="1" a="1"/>
  <c r="BC9" i="1" s="1"/>
  <c r="AY9" i="1" a="1"/>
  <c r="AY9" i="1" s="1"/>
  <c r="AS9" i="1"/>
  <c r="AQ9" i="1" s="1"/>
  <c r="CU9" i="1" s="1"/>
  <c r="BW8" i="1"/>
  <c r="BO8" i="1" a="1"/>
  <c r="BO8" i="1" s="1"/>
  <c r="BK8" i="1" a="1"/>
  <c r="BK8" i="1" s="1"/>
  <c r="BC8" i="1" a="1"/>
  <c r="BC8" i="1" s="1"/>
  <c r="AY8" i="1" a="1"/>
  <c r="AY8" i="1" s="1"/>
  <c r="AS8" i="1"/>
  <c r="AQ8" i="1" s="1"/>
  <c r="CU8" i="1" s="1"/>
  <c r="BW7" i="1"/>
  <c r="BO7" i="1" a="1"/>
  <c r="BO7" i="1" s="1"/>
  <c r="BK7" i="1" a="1"/>
  <c r="BK7" i="1" s="1"/>
  <c r="BC7" i="1" a="1"/>
  <c r="BC7" i="1" s="1"/>
  <c r="AY7" i="1" a="1"/>
  <c r="AY7" i="1" s="1"/>
  <c r="AS7" i="1"/>
  <c r="AQ7" i="1" s="1"/>
  <c r="CU7" i="1" s="1"/>
  <c r="BW6" i="1"/>
  <c r="BO6" i="1" a="1"/>
  <c r="BO6" i="1" s="1"/>
  <c r="BK6" i="1" a="1"/>
  <c r="BK6" i="1" s="1"/>
  <c r="BC6" i="1" a="1"/>
  <c r="BC6" i="1" s="1"/>
  <c r="AY6" i="1" a="1"/>
  <c r="AY6" i="1" s="1"/>
  <c r="AS6" i="1"/>
  <c r="AQ6" i="1" s="1"/>
  <c r="CU6" i="1" s="1"/>
  <c r="BW5" i="1"/>
  <c r="BO5" i="1" a="1"/>
  <c r="BO5" i="1" s="1"/>
  <c r="BK5" i="1" a="1"/>
  <c r="BK5" i="1" s="1"/>
  <c r="BC5" i="1" a="1"/>
  <c r="BC5" i="1" s="1"/>
  <c r="AY5" i="1" a="1"/>
  <c r="AY5" i="1" s="1"/>
  <c r="AS5" i="1"/>
  <c r="AQ5" i="1" s="1"/>
  <c r="CU5" i="1" s="1"/>
  <c r="BW4" i="1"/>
  <c r="BO4" i="1" a="1"/>
  <c r="BO4" i="1" s="1"/>
  <c r="BK4" i="1" a="1"/>
  <c r="BK4" i="1" s="1"/>
  <c r="BC4" i="1" a="1"/>
  <c r="BC4" i="1" s="1"/>
  <c r="AY4" i="1" a="1"/>
  <c r="AY4" i="1" s="1"/>
  <c r="AS4" i="1"/>
  <c r="AQ4" i="1" s="1"/>
  <c r="CU4" i="1" s="1"/>
  <c r="BW3" i="1"/>
  <c r="BK3" i="1" a="1"/>
  <c r="BK3" i="1" s="1"/>
  <c r="BC3" i="1" a="1"/>
  <c r="BC3" i="1" s="1"/>
  <c r="AY3" i="1" a="1"/>
  <c r="AY3" i="1" s="1"/>
  <c r="AS3" i="1"/>
  <c r="AQ3" i="1" s="1"/>
  <c r="AO19" i="3" l="1"/>
  <c r="AU19" i="3" s="1"/>
  <c r="CU22" i="3"/>
  <c r="CE9" i="3"/>
  <c r="CQ9" i="3"/>
  <c r="CQ10" i="3"/>
  <c r="CE10" i="3"/>
  <c r="CQ17" i="3"/>
  <c r="CE17" i="3"/>
  <c r="CQ3" i="3"/>
  <c r="CE3" i="3"/>
  <c r="CE6" i="3"/>
  <c r="CQ6" i="3"/>
  <c r="CE5" i="3"/>
  <c r="CQ5" i="3"/>
  <c r="CQ19" i="3"/>
  <c r="CE19" i="3"/>
  <c r="CE8" i="3"/>
  <c r="CQ8" i="3"/>
  <c r="CQ4" i="3"/>
  <c r="CE4" i="3"/>
  <c r="CQ16" i="3"/>
  <c r="CE16" i="3"/>
  <c r="CQ14" i="3"/>
  <c r="CE14" i="3"/>
  <c r="CQ13" i="3"/>
  <c r="CE13" i="3"/>
  <c r="AO21" i="3"/>
  <c r="AU21" i="3" s="1"/>
  <c r="AU22" i="3" s="1"/>
  <c r="AU24" i="3" s="1"/>
  <c r="CE7" i="3"/>
  <c r="CQ7" i="3"/>
  <c r="CE11" i="3"/>
  <c r="CQ11" i="3"/>
  <c r="CE12" i="3"/>
  <c r="CQ12" i="3"/>
  <c r="CQ20" i="3"/>
  <c r="CE20" i="3"/>
  <c r="CQ15" i="3"/>
  <c r="CE15" i="3"/>
  <c r="C30" i="1"/>
  <c r="U30" i="1"/>
  <c r="AA30" i="1"/>
  <c r="O30" i="1"/>
  <c r="I30" i="1"/>
  <c r="AG30" i="1"/>
  <c r="AR23" i="1"/>
  <c r="AR25" i="1" s="1"/>
  <c r="E30" i="1"/>
  <c r="AO17" i="1"/>
  <c r="AU17" i="1" s="1"/>
  <c r="AY22" i="1"/>
  <c r="K30" i="1"/>
  <c r="Q30" i="1"/>
  <c r="BW22" i="1"/>
  <c r="H30" i="1"/>
  <c r="N30" i="1"/>
  <c r="T30" i="1"/>
  <c r="Z30" i="1"/>
  <c r="AF30" i="1"/>
  <c r="D30" i="1"/>
  <c r="J30" i="1"/>
  <c r="P30" i="1"/>
  <c r="V30" i="1"/>
  <c r="AB30" i="1"/>
  <c r="AR22" i="1"/>
  <c r="W30" i="1"/>
  <c r="AC30" i="1"/>
  <c r="F30" i="1"/>
  <c r="L30" i="1"/>
  <c r="R30" i="1"/>
  <c r="X30" i="1"/>
  <c r="AD30" i="1"/>
  <c r="G30" i="1"/>
  <c r="M30" i="1"/>
  <c r="S30" i="1"/>
  <c r="Y30" i="1"/>
  <c r="AE30" i="1"/>
  <c r="AO3" i="1"/>
  <c r="AU3" i="1" s="1"/>
  <c r="CU3" i="1"/>
  <c r="CQ17" i="1"/>
  <c r="CE17" i="1"/>
  <c r="CU19" i="1"/>
  <c r="AO19" i="1"/>
  <c r="AU19" i="1" s="1"/>
  <c r="AO20" i="1"/>
  <c r="AU20" i="1" s="1"/>
  <c r="CU20" i="1"/>
  <c r="BC22" i="1"/>
  <c r="CQ18" i="1"/>
  <c r="AO21" i="1"/>
  <c r="AU21" i="1" s="1"/>
  <c r="CU21" i="1"/>
  <c r="BG22" i="1"/>
  <c r="BK22" i="1"/>
  <c r="AO15" i="1"/>
  <c r="AU15" i="1" s="1"/>
  <c r="CU15" i="1"/>
  <c r="BO22" i="1"/>
  <c r="CU16" i="1"/>
  <c r="AO16" i="1"/>
  <c r="AU16" i="1" s="1"/>
  <c r="AO5" i="1"/>
  <c r="AU5" i="1" s="1"/>
  <c r="AO7" i="1"/>
  <c r="AU7" i="1" s="1"/>
  <c r="AO9" i="1"/>
  <c r="AU9" i="1" s="1"/>
  <c r="AO11" i="1"/>
  <c r="AU11" i="1" s="1"/>
  <c r="AO14" i="1"/>
  <c r="AU14" i="1" s="1"/>
  <c r="AO4" i="1"/>
  <c r="AU4" i="1" s="1"/>
  <c r="AO6" i="1"/>
  <c r="AU6" i="1" s="1"/>
  <c r="AO8" i="1"/>
  <c r="AU8" i="1" s="1"/>
  <c r="AO10" i="1"/>
  <c r="AU10" i="1" s="1"/>
  <c r="AO12" i="1"/>
  <c r="AU12" i="1" s="1"/>
  <c r="AO13" i="1"/>
  <c r="AU13" i="1" s="1"/>
  <c r="AJ30" i="1"/>
  <c r="CE18" i="1"/>
  <c r="CQ21" i="3" l="1"/>
  <c r="CQ22" i="3" s="1"/>
  <c r="CE21" i="3"/>
  <c r="CE22" i="3" s="1"/>
  <c r="CE12" i="1"/>
  <c r="CQ12" i="1"/>
  <c r="CE13" i="1"/>
  <c r="CQ13" i="1"/>
  <c r="CQ14" i="1"/>
  <c r="CE14" i="1"/>
  <c r="CQ19" i="1"/>
  <c r="CE19" i="1"/>
  <c r="CQ21" i="1"/>
  <c r="CE21" i="1"/>
  <c r="CQ10" i="1"/>
  <c r="CE10" i="1"/>
  <c r="CE9" i="1"/>
  <c r="CQ9" i="1"/>
  <c r="CQ11" i="1"/>
  <c r="CE11" i="1"/>
  <c r="CE7" i="1"/>
  <c r="CQ7" i="1"/>
  <c r="CQ15" i="1"/>
  <c r="CE15" i="1"/>
  <c r="CE6" i="1"/>
  <c r="CQ6" i="1"/>
  <c r="CE5" i="1"/>
  <c r="CQ5" i="1"/>
  <c r="CU22" i="1"/>
  <c r="CE8" i="1"/>
  <c r="CQ8" i="1"/>
  <c r="CE4" i="1"/>
  <c r="CQ4" i="1"/>
  <c r="CQ16" i="1"/>
  <c r="CE16" i="1"/>
  <c r="CQ20" i="1"/>
  <c r="CE20" i="1"/>
  <c r="CQ3" i="1"/>
  <c r="CE3" i="1"/>
  <c r="AU22" i="1"/>
  <c r="AU24" i="1" s="1"/>
  <c r="CE22" i="1" l="1"/>
  <c r="CQ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Никита HR</author>
  </authors>
  <commentList>
    <comment ref="CI8" authorId="0" shapeId="0" xr:uid="{B5B4D76D-C620-47E0-893A-2800E739BEF6}">
      <text>
        <r>
          <rPr>
            <b/>
            <sz val="9"/>
            <color indexed="81"/>
            <rFont val="Tahoma"/>
            <charset val="1"/>
          </rPr>
          <t>Никита HR:</t>
        </r>
        <r>
          <rPr>
            <sz val="9"/>
            <color indexed="81"/>
            <rFont val="Tahoma"/>
            <charset val="1"/>
          </rPr>
          <t xml:space="preserve">
13.01.26 - утеря ключа ТЦ "Меркурий"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Никита HR</author>
  </authors>
  <commentList>
    <comment ref="CI8" authorId="0" shapeId="0" xr:uid="{4CF48771-6090-4900-9FD6-1CFA909667B4}">
      <text>
        <r>
          <rPr>
            <b/>
            <sz val="9"/>
            <color indexed="81"/>
            <rFont val="Tahoma"/>
            <charset val="1"/>
          </rPr>
          <t>Никита HR:</t>
        </r>
        <r>
          <rPr>
            <sz val="9"/>
            <color indexed="81"/>
            <rFont val="Tahoma"/>
            <charset val="1"/>
          </rPr>
          <t xml:space="preserve">
13.01.26 - утеря ключа ТЦ "Меркурий"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<sst xmlns="http://schemas.openxmlformats.org/spreadsheetml/2006/main" count="551" uniqueCount="70">
  <si>
    <t>ИМЯ</t>
  </si>
  <si>
    <t>Ставка</t>
  </si>
  <si>
    <t>%</t>
  </si>
  <si>
    <t>ИТОГО СМЕН</t>
  </si>
  <si>
    <t>РАСЧЕТ ЗП</t>
  </si>
  <si>
    <t>Переплата</t>
  </si>
  <si>
    <t>пн</t>
  </si>
  <si>
    <t>вт</t>
  </si>
  <si>
    <t>ср</t>
  </si>
  <si>
    <t>чт</t>
  </si>
  <si>
    <t>пт</t>
  </si>
  <si>
    <t>сб</t>
  </si>
  <si>
    <t>вс</t>
  </si>
  <si>
    <t>ОСН</t>
  </si>
  <si>
    <t>ДОП</t>
  </si>
  <si>
    <t>Р</t>
  </si>
  <si>
    <t>К</t>
  </si>
  <si>
    <t>О</t>
  </si>
  <si>
    <t>ОСН.</t>
  </si>
  <si>
    <t>ДОП.</t>
  </si>
  <si>
    <t>ОБЩ</t>
  </si>
  <si>
    <t>ОКЛАД</t>
  </si>
  <si>
    <t>Ремонт</t>
  </si>
  <si>
    <t>Косметика</t>
  </si>
  <si>
    <t>Обувь</t>
  </si>
  <si>
    <t>Аксессуары</t>
  </si>
  <si>
    <t>Ключи</t>
  </si>
  <si>
    <t>Тапки</t>
  </si>
  <si>
    <t>Цех</t>
  </si>
  <si>
    <t>Бонус</t>
  </si>
  <si>
    <t>ИТОГО</t>
  </si>
  <si>
    <t>Удержание</t>
  </si>
  <si>
    <t>Аванс</t>
  </si>
  <si>
    <t>К выплате</t>
  </si>
  <si>
    <t>Ц</t>
  </si>
  <si>
    <t>Арина 7272</t>
  </si>
  <si>
    <t>Александр 1505</t>
  </si>
  <si>
    <t>Ох</t>
  </si>
  <si>
    <t>Эмиль 2404</t>
  </si>
  <si>
    <t>Полина 5984</t>
  </si>
  <si>
    <t>М</t>
  </si>
  <si>
    <t>Юля 3007</t>
  </si>
  <si>
    <t>П</t>
  </si>
  <si>
    <t>Катя 2201</t>
  </si>
  <si>
    <t>А</t>
  </si>
  <si>
    <t>Вероника 1996</t>
  </si>
  <si>
    <t>Алекс 2104</t>
  </si>
  <si>
    <t>Марина 0208</t>
  </si>
  <si>
    <t>Валерия 2106</t>
  </si>
  <si>
    <t>Оз</t>
  </si>
  <si>
    <t>Любовь 1302</t>
  </si>
  <si>
    <t>Вера 0102</t>
  </si>
  <si>
    <t>Виктория 2502</t>
  </si>
  <si>
    <t/>
  </si>
  <si>
    <t>Смен на ТП</t>
  </si>
  <si>
    <t>Смен</t>
  </si>
  <si>
    <t>Админов</t>
  </si>
  <si>
    <t>ИТОГО ВЫПЛАТ</t>
  </si>
  <si>
    <t>Стажеров</t>
  </si>
  <si>
    <t>Найти</t>
  </si>
  <si>
    <t>Меркурий</t>
  </si>
  <si>
    <t>Озерки</t>
  </si>
  <si>
    <t>Академ Парк</t>
  </si>
  <si>
    <t>Охта Молл</t>
  </si>
  <si>
    <t>Пассаж</t>
  </si>
  <si>
    <t>Охта</t>
  </si>
  <si>
    <t>Академка</t>
  </si>
  <si>
    <t>Рио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</si>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</sst>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* #,##0\ &quot;₽&quot;_-;\-* #,##0\ &quot;₽&quot;_-;_-* &quot;-&quot;\ &quot;₽&quot;_-;_-@_-"/>
    <numFmt numFmtId="164" formatCode="#,##0\ &quot;₽&quot;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Aptos Narrow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62">
    <border>
      <left/>
      <right/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97">
    <xf numFmtId="0" fontId="0" fillId="0" borderId="0" xfId="0"/>
    <xf numFmtId="0" fontId="2" fillId="0" borderId="0" xfId="1"/>
    <xf numFmtId="14" fontId="3" fillId="2" borderId="0" xfId="1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4" fontId="2" fillId="0" borderId="0" xfId="1" applyNumberFormat="1"/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vertical="center" wrapText="1"/>
    </xf>
    <xf numFmtId="0" fontId="2" fillId="6" borderId="0" xfId="1" applyFill="1" applyAlignment="1">
      <alignment horizontal="center" wrapText="1"/>
    </xf>
    <xf numFmtId="0" fontId="6" fillId="6" borderId="22" xfId="1" applyFont="1" applyFill="1" applyBorder="1" applyAlignment="1">
      <alignment horizontal="center" vertical="center"/>
    </xf>
    <xf numFmtId="9" fontId="0" fillId="0" borderId="21" xfId="0" applyNumberForma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42" fontId="0" fillId="0" borderId="25" xfId="0" applyNumberFormat="1" applyBorder="1" applyAlignment="1">
      <alignment horizontal="center" vertical="center"/>
    </xf>
    <xf numFmtId="0" fontId="4" fillId="3" borderId="28" xfId="0" applyFont="1" applyFill="1" applyBorder="1" applyAlignment="1">
      <alignment vertical="center" wrapText="1"/>
    </xf>
    <xf numFmtId="0" fontId="6" fillId="6" borderId="29" xfId="1" applyFont="1" applyFill="1" applyBorder="1" applyAlignment="1">
      <alignment horizontal="center" vertical="center"/>
    </xf>
    <xf numFmtId="0" fontId="6" fillId="6" borderId="30" xfId="1" applyFont="1" applyFill="1" applyBorder="1" applyAlignment="1">
      <alignment horizontal="center" vertical="center"/>
    </xf>
    <xf numFmtId="9" fontId="0" fillId="8" borderId="29" xfId="0" applyNumberFormat="1" applyFill="1" applyBorder="1" applyAlignment="1">
      <alignment horizontal="center" vertical="center"/>
    </xf>
    <xf numFmtId="9" fontId="0" fillId="8" borderId="30" xfId="0" applyNumberFormat="1" applyFill="1" applyBorder="1" applyAlignment="1">
      <alignment horizontal="center" vertical="center"/>
    </xf>
    <xf numFmtId="42" fontId="0" fillId="8" borderId="33" xfId="0" applyNumberFormat="1" applyFill="1" applyBorder="1" applyAlignment="1">
      <alignment horizontal="center" vertical="center"/>
    </xf>
    <xf numFmtId="9" fontId="0" fillId="0" borderId="29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42" fontId="0" fillId="0" borderId="33" xfId="0" applyNumberFormat="1" applyBorder="1" applyAlignment="1">
      <alignment horizontal="center" vertical="center"/>
    </xf>
    <xf numFmtId="0" fontId="1" fillId="3" borderId="31" xfId="0" applyFont="1" applyFill="1" applyBorder="1" applyAlignment="1">
      <alignment vertical="center" wrapText="1"/>
    </xf>
    <xf numFmtId="0" fontId="6" fillId="6" borderId="31" xfId="1" applyFont="1" applyFill="1" applyBorder="1" applyAlignment="1">
      <alignment horizontal="center" vertical="center"/>
    </xf>
    <xf numFmtId="0" fontId="5" fillId="6" borderId="5" xfId="1" applyFont="1" applyFill="1" applyBorder="1" applyAlignment="1">
      <alignment horizontal="left"/>
    </xf>
    <xf numFmtId="0" fontId="2" fillId="0" borderId="0" xfId="1" quotePrefix="1"/>
    <xf numFmtId="0" fontId="5" fillId="0" borderId="5" xfId="1" applyFont="1" applyBorder="1" applyAlignment="1">
      <alignment horizontal="left"/>
    </xf>
    <xf numFmtId="0" fontId="2" fillId="0" borderId="0" xfId="1" applyAlignment="1">
      <alignment horizontal="center" wrapText="1"/>
    </xf>
    <xf numFmtId="0" fontId="6" fillId="6" borderId="36" xfId="1" applyFont="1" applyFill="1" applyBorder="1" applyAlignment="1">
      <alignment horizontal="center" vertical="center"/>
    </xf>
    <xf numFmtId="0" fontId="6" fillId="6" borderId="42" xfId="1" applyFont="1" applyFill="1" applyBorder="1" applyAlignment="1">
      <alignment horizontal="center" vertical="center"/>
    </xf>
    <xf numFmtId="0" fontId="6" fillId="6" borderId="43" xfId="1" applyFont="1" applyFill="1" applyBorder="1" applyAlignment="1">
      <alignment horizontal="center" vertical="center"/>
    </xf>
    <xf numFmtId="0" fontId="5" fillId="5" borderId="18" xfId="1" applyFont="1" applyFill="1" applyBorder="1" applyAlignment="1">
      <alignment horizontal="center" vertical="center"/>
    </xf>
    <xf numFmtId="0" fontId="5" fillId="5" borderId="47" xfId="1" applyFont="1" applyFill="1" applyBorder="1" applyAlignment="1">
      <alignment horizontal="center" vertical="center"/>
    </xf>
    <xf numFmtId="0" fontId="5" fillId="5" borderId="48" xfId="1" applyFont="1" applyFill="1" applyBorder="1" applyAlignment="1">
      <alignment horizontal="center" vertical="center"/>
    </xf>
    <xf numFmtId="0" fontId="5" fillId="5" borderId="49" xfId="1" applyFont="1" applyFill="1" applyBorder="1" applyAlignment="1">
      <alignment horizontal="center" vertical="center"/>
    </xf>
    <xf numFmtId="0" fontId="0" fillId="0" borderId="51" xfId="0" applyBorder="1"/>
    <xf numFmtId="0" fontId="0" fillId="0" borderId="51" xfId="0" applyBorder="1" applyAlignment="1">
      <alignment horizontal="center" vertical="center"/>
    </xf>
    <xf numFmtId="0" fontId="7" fillId="0" borderId="21" xfId="1" applyFont="1" applyBorder="1" applyAlignment="1">
      <alignment horizontal="right" vertical="center"/>
    </xf>
    <xf numFmtId="0" fontId="7" fillId="0" borderId="22" xfId="1" applyFont="1" applyBorder="1" applyAlignment="1">
      <alignment horizontal="right" vertical="center"/>
    </xf>
    <xf numFmtId="0" fontId="7" fillId="0" borderId="25" xfId="1" applyFont="1" applyBorder="1" applyAlignment="1">
      <alignment horizontal="right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7" fillId="0" borderId="29" xfId="1" applyFont="1" applyBorder="1" applyAlignment="1">
      <alignment horizontal="right" vertical="center"/>
    </xf>
    <xf numFmtId="0" fontId="7" fillId="0" borderId="30" xfId="1" applyFont="1" applyBorder="1" applyAlignment="1">
      <alignment horizontal="right" vertical="center"/>
    </xf>
    <xf numFmtId="0" fontId="7" fillId="0" borderId="33" xfId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7" fillId="0" borderId="36" xfId="1" applyFont="1" applyBorder="1" applyAlignment="1">
      <alignment horizontal="right" vertical="center"/>
    </xf>
    <xf numFmtId="0" fontId="7" fillId="0" borderId="42" xfId="1" applyFont="1" applyBorder="1" applyAlignment="1">
      <alignment horizontal="right" vertical="center"/>
    </xf>
    <xf numFmtId="0" fontId="7" fillId="0" borderId="44" xfId="1" applyFont="1" applyBorder="1" applyAlignment="1">
      <alignment horizontal="right" vertical="center"/>
    </xf>
    <xf numFmtId="0" fontId="5" fillId="15" borderId="53" xfId="1" applyFont="1" applyFill="1" applyBorder="1" applyAlignment="1">
      <alignment horizontal="center" vertical="center"/>
    </xf>
    <xf numFmtId="0" fontId="5" fillId="15" borderId="55" xfId="1" applyFont="1" applyFill="1" applyBorder="1" applyAlignment="1">
      <alignment horizontal="center" vertical="center"/>
    </xf>
    <xf numFmtId="0" fontId="2" fillId="0" borderId="21" xfId="1" applyBorder="1" applyAlignment="1">
      <alignment horizontal="center" vertical="center"/>
    </xf>
    <xf numFmtId="0" fontId="2" fillId="0" borderId="22" xfId="1" applyBorder="1" applyAlignment="1">
      <alignment horizontal="center" vertical="center"/>
    </xf>
    <xf numFmtId="0" fontId="2" fillId="0" borderId="23" xfId="1" applyBorder="1" applyAlignment="1">
      <alignment horizontal="center" vertical="center"/>
    </xf>
    <xf numFmtId="0" fontId="2" fillId="0" borderId="29" xfId="1" applyBorder="1" applyAlignment="1">
      <alignment horizontal="center" vertical="center"/>
    </xf>
    <xf numFmtId="0" fontId="2" fillId="0" borderId="30" xfId="1" applyBorder="1" applyAlignment="1">
      <alignment horizontal="center" vertical="center"/>
    </xf>
    <xf numFmtId="0" fontId="2" fillId="0" borderId="31" xfId="1" applyBorder="1" applyAlignment="1">
      <alignment horizontal="center" vertical="center"/>
    </xf>
    <xf numFmtId="0" fontId="2" fillId="0" borderId="36" xfId="1" applyBorder="1" applyAlignment="1">
      <alignment horizontal="center" vertical="center"/>
    </xf>
    <xf numFmtId="0" fontId="2" fillId="0" borderId="42" xfId="1" applyBorder="1" applyAlignment="1">
      <alignment horizontal="center" vertical="center"/>
    </xf>
    <xf numFmtId="0" fontId="2" fillId="0" borderId="43" xfId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0" xfId="1" applyAlignment="1">
      <alignment horizontal="center"/>
    </xf>
    <xf numFmtId="0" fontId="6" fillId="6" borderId="23" xfId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6" fillId="4" borderId="21" xfId="1" applyFont="1" applyFill="1" applyBorder="1" applyAlignment="1">
      <alignment horizontal="center" vertical="center"/>
    </xf>
    <xf numFmtId="0" fontId="6" fillId="4" borderId="22" xfId="1" applyFont="1" applyFill="1" applyBorder="1" applyAlignment="1">
      <alignment horizontal="center" vertical="center"/>
    </xf>
    <xf numFmtId="0" fontId="6" fillId="4" borderId="29" xfId="1" applyFont="1" applyFill="1" applyBorder="1" applyAlignment="1">
      <alignment horizontal="center" vertical="center"/>
    </xf>
    <xf numFmtId="0" fontId="6" fillId="4" borderId="30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0" fillId="0" borderId="8" xfId="0" applyBorder="1"/>
    <xf numFmtId="0" fontId="2" fillId="0" borderId="0" xfId="1"/>
    <xf numFmtId="0" fontId="0" fillId="0" borderId="51" xfId="0" applyBorder="1"/>
    <xf numFmtId="0" fontId="2" fillId="0" borderId="0" xfId="1" applyAlignment="1">
      <alignment horizontal="center"/>
    </xf>
    <xf numFmtId="0" fontId="11" fillId="6" borderId="1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5" fillId="16" borderId="6" xfId="1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4" fillId="0" borderId="45" xfId="1" applyFont="1" applyBorder="1" applyAlignment="1">
      <alignment horizontal="right"/>
    </xf>
    <xf numFmtId="0" fontId="0" fillId="0" borderId="46" xfId="0" applyBorder="1"/>
    <xf numFmtId="0" fontId="0" fillId="0" borderId="13" xfId="0" applyBorder="1"/>
    <xf numFmtId="164" fontId="2" fillId="0" borderId="12" xfId="1" applyNumberFormat="1" applyBorder="1" applyAlignment="1">
      <alignment horizontal="center"/>
    </xf>
    <xf numFmtId="0" fontId="4" fillId="15" borderId="57" xfId="1" applyFont="1" applyFill="1" applyBorder="1" applyAlignment="1">
      <alignment horizontal="right"/>
    </xf>
    <xf numFmtId="0" fontId="0" fillId="0" borderId="58" xfId="0" applyBorder="1"/>
    <xf numFmtId="164" fontId="4" fillId="15" borderId="58" xfId="1" applyNumberFormat="1" applyFont="1" applyFill="1" applyBorder="1" applyAlignment="1">
      <alignment horizontal="center"/>
    </xf>
    <xf numFmtId="0" fontId="4" fillId="17" borderId="29" xfId="1" applyFont="1" applyFill="1" applyBorder="1" applyAlignment="1">
      <alignment horizontal="right"/>
    </xf>
    <xf numFmtId="0" fontId="0" fillId="0" borderId="34" xfId="0" applyBorder="1"/>
    <xf numFmtId="0" fontId="0" fillId="0" borderId="32" xfId="0" applyBorder="1"/>
    <xf numFmtId="164" fontId="2" fillId="17" borderId="30" xfId="1" applyNumberFormat="1" applyFill="1" applyBorder="1" applyAlignment="1">
      <alignment horizontal="center"/>
    </xf>
    <xf numFmtId="0" fontId="4" fillId="0" borderId="29" xfId="1" applyFont="1" applyBorder="1" applyAlignment="1">
      <alignment horizontal="right"/>
    </xf>
    <xf numFmtId="164" fontId="2" fillId="0" borderId="30" xfId="1" applyNumberFormat="1" applyBorder="1" applyAlignment="1">
      <alignment horizontal="center"/>
    </xf>
    <xf numFmtId="0" fontId="4" fillId="0" borderId="21" xfId="1" applyFont="1" applyBorder="1" applyAlignment="1">
      <alignment horizontal="right"/>
    </xf>
    <xf numFmtId="0" fontId="0" fillId="0" borderId="26" xfId="0" applyBorder="1"/>
    <xf numFmtId="0" fontId="0" fillId="0" borderId="24" xfId="0" applyBorder="1"/>
    <xf numFmtId="164" fontId="2" fillId="0" borderId="22" xfId="1" applyNumberFormat="1" applyBorder="1" applyAlignment="1">
      <alignment horizontal="center"/>
    </xf>
    <xf numFmtId="0" fontId="5" fillId="16" borderId="57" xfId="1" applyFont="1" applyFill="1" applyBorder="1" applyAlignment="1">
      <alignment horizontal="center" vertical="center"/>
    </xf>
    <xf numFmtId="0" fontId="5" fillId="16" borderId="58" xfId="1" applyFont="1" applyFill="1" applyBorder="1" applyAlignment="1">
      <alignment horizontal="center" vertical="center"/>
    </xf>
    <xf numFmtId="0" fontId="5" fillId="13" borderId="29" xfId="1" applyFont="1" applyFill="1" applyBorder="1" applyAlignment="1">
      <alignment horizontal="center" vertical="center"/>
    </xf>
    <xf numFmtId="0" fontId="2" fillId="0" borderId="59" xfId="1" applyBorder="1" applyAlignment="1">
      <alignment horizontal="center"/>
    </xf>
    <xf numFmtId="0" fontId="0" fillId="0" borderId="35" xfId="0" applyBorder="1"/>
    <xf numFmtId="0" fontId="5" fillId="14" borderId="36" xfId="1" applyFont="1" applyFill="1" applyBorder="1" applyAlignment="1">
      <alignment horizontal="center" vertical="center"/>
    </xf>
    <xf numFmtId="0" fontId="0" fillId="0" borderId="60" xfId="0" applyBorder="1"/>
    <xf numFmtId="0" fontId="2" fillId="0" borderId="61" xfId="1" applyBorder="1" applyAlignment="1">
      <alignment horizontal="center"/>
    </xf>
    <xf numFmtId="0" fontId="0" fillId="0" borderId="38" xfId="0" applyBorder="1"/>
    <xf numFmtId="0" fontId="5" fillId="5" borderId="50" xfId="1" applyFont="1" applyFill="1" applyBorder="1" applyAlignment="1">
      <alignment horizontal="center"/>
    </xf>
    <xf numFmtId="0" fontId="0" fillId="0" borderId="52" xfId="0" applyBorder="1"/>
    <xf numFmtId="0" fontId="5" fillId="15" borderId="6" xfId="1" applyFont="1" applyFill="1" applyBorder="1" applyAlignment="1">
      <alignment horizontal="center" vertical="center"/>
    </xf>
    <xf numFmtId="0" fontId="5" fillId="11" borderId="29" xfId="1" applyFont="1" applyFill="1" applyBorder="1" applyAlignment="1">
      <alignment horizontal="center" vertical="center"/>
    </xf>
    <xf numFmtId="0" fontId="2" fillId="0" borderId="0" xfId="1" applyAlignment="1">
      <alignment horizontal="center"/>
    </xf>
    <xf numFmtId="14" fontId="2" fillId="0" borderId="0" xfId="1" applyNumberFormat="1" applyAlignment="1">
      <alignment horizontal="center"/>
    </xf>
    <xf numFmtId="0" fontId="5" fillId="12" borderId="29" xfId="1" applyFont="1" applyFill="1" applyBorder="1" applyAlignment="1">
      <alignment horizontal="center" vertical="center"/>
    </xf>
    <xf numFmtId="0" fontId="5" fillId="9" borderId="29" xfId="1" applyFont="1" applyFill="1" applyBorder="1" applyAlignment="1">
      <alignment horizontal="center" vertical="center"/>
    </xf>
    <xf numFmtId="0" fontId="5" fillId="0" borderId="57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164" fontId="5" fillId="8" borderId="6" xfId="1" applyNumberFormat="1" applyFont="1" applyFill="1" applyBorder="1" applyAlignment="1">
      <alignment horizontal="center"/>
    </xf>
    <xf numFmtId="0" fontId="5" fillId="10" borderId="29" xfId="1" applyFont="1" applyFill="1" applyBorder="1" applyAlignment="1">
      <alignment horizontal="center" vertical="center"/>
    </xf>
    <xf numFmtId="0" fontId="5" fillId="7" borderId="21" xfId="1" applyFont="1" applyFill="1" applyBorder="1" applyAlignment="1">
      <alignment horizontal="center" vertical="center"/>
    </xf>
    <xf numFmtId="0" fontId="2" fillId="0" borderId="56" xfId="1" applyBorder="1" applyAlignment="1">
      <alignment horizontal="center"/>
    </xf>
    <xf numFmtId="0" fontId="0" fillId="0" borderId="27" xfId="0" applyBorder="1"/>
    <xf numFmtId="0" fontId="5" fillId="5" borderId="6" xfId="1" applyFont="1" applyFill="1" applyBorder="1" applyAlignment="1">
      <alignment horizontal="center"/>
    </xf>
    <xf numFmtId="0" fontId="0" fillId="0" borderId="51" xfId="0" applyBorder="1"/>
    <xf numFmtId="164" fontId="5" fillId="5" borderId="5" xfId="1" applyNumberFormat="1" applyFont="1" applyFill="1" applyBorder="1" applyAlignment="1">
      <alignment horizontal="center"/>
    </xf>
    <xf numFmtId="164" fontId="5" fillId="5" borderId="55" xfId="1" applyNumberFormat="1" applyFont="1" applyFill="1" applyBorder="1" applyAlignment="1">
      <alignment horizontal="center"/>
    </xf>
    <xf numFmtId="164" fontId="5" fillId="5" borderId="6" xfId="1" applyNumberFormat="1" applyFont="1" applyFill="1" applyBorder="1" applyAlignment="1">
      <alignment horizontal="center"/>
    </xf>
    <xf numFmtId="164" fontId="2" fillId="0" borderId="32" xfId="1" applyNumberFormat="1" applyBorder="1" applyAlignment="1">
      <alignment horizontal="center"/>
    </xf>
    <xf numFmtId="164" fontId="2" fillId="0" borderId="33" xfId="1" applyNumberFormat="1" applyBorder="1" applyAlignment="1">
      <alignment horizontal="center"/>
    </xf>
    <xf numFmtId="0" fontId="2" fillId="0" borderId="36" xfId="1" applyBorder="1" applyAlignment="1">
      <alignment horizontal="center"/>
    </xf>
    <xf numFmtId="0" fontId="0" fillId="0" borderId="42" xfId="0" applyBorder="1"/>
    <xf numFmtId="0" fontId="2" fillId="0" borderId="42" xfId="1" applyBorder="1" applyAlignment="1">
      <alignment horizontal="center"/>
    </xf>
    <xf numFmtId="0" fontId="0" fillId="0" borderId="44" xfId="0" applyBorder="1"/>
    <xf numFmtId="164" fontId="0" fillId="0" borderId="36" xfId="0" applyNumberFormat="1" applyBorder="1" applyAlignment="1">
      <alignment horizontal="center"/>
    </xf>
    <xf numFmtId="0" fontId="5" fillId="0" borderId="53" xfId="1" applyFont="1" applyBorder="1" applyAlignment="1">
      <alignment horizontal="center"/>
    </xf>
    <xf numFmtId="0" fontId="0" fillId="0" borderId="54" xfId="0" applyBorder="1"/>
    <xf numFmtId="0" fontId="5" fillId="0" borderId="50" xfId="1" applyFont="1" applyBorder="1" applyAlignment="1">
      <alignment horizontal="center"/>
    </xf>
    <xf numFmtId="164" fontId="2" fillId="0" borderId="21" xfId="1" applyNumberFormat="1" applyBorder="1" applyAlignment="1">
      <alignment horizontal="center" wrapText="1"/>
    </xf>
    <xf numFmtId="0" fontId="0" fillId="0" borderId="22" xfId="0" applyBorder="1"/>
    <xf numFmtId="42" fontId="2" fillId="0" borderId="22" xfId="1" applyNumberFormat="1" applyBorder="1" applyAlignment="1">
      <alignment horizontal="center" vertical="center"/>
    </xf>
    <xf numFmtId="164" fontId="2" fillId="0" borderId="36" xfId="1" applyNumberFormat="1" applyBorder="1" applyAlignment="1">
      <alignment horizontal="center"/>
    </xf>
    <xf numFmtId="0" fontId="0" fillId="0" borderId="37" xfId="0" applyBorder="1"/>
    <xf numFmtId="0" fontId="0" fillId="0" borderId="30" xfId="0" applyBorder="1"/>
    <xf numFmtId="0" fontId="0" fillId="0" borderId="33" xfId="0" applyBorder="1"/>
    <xf numFmtId="164" fontId="2" fillId="0" borderId="29" xfId="1" applyNumberFormat="1" applyBorder="1" applyAlignment="1">
      <alignment horizontal="center"/>
    </xf>
    <xf numFmtId="164" fontId="2" fillId="8" borderId="39" xfId="1" applyNumberFormat="1" applyFill="1" applyBorder="1" applyAlignment="1">
      <alignment horizontal="center"/>
    </xf>
    <xf numFmtId="0" fontId="0" fillId="0" borderId="40" xfId="0" applyBorder="1"/>
    <xf numFmtId="0" fontId="0" fillId="0" borderId="41" xfId="0" applyBorder="1"/>
    <xf numFmtId="164" fontId="2" fillId="8" borderId="30" xfId="1" applyNumberFormat="1" applyFill="1" applyBorder="1" applyAlignment="1">
      <alignment horizontal="center"/>
    </xf>
    <xf numFmtId="0" fontId="0" fillId="0" borderId="31" xfId="0" applyBorder="1"/>
    <xf numFmtId="164" fontId="2" fillId="0" borderId="24" xfId="1" applyNumberFormat="1" applyBorder="1" applyAlignment="1">
      <alignment horizontal="center"/>
    </xf>
    <xf numFmtId="164" fontId="2" fillId="0" borderId="42" xfId="1" applyNumberFormat="1" applyBorder="1" applyAlignment="1">
      <alignment horizontal="center"/>
    </xf>
    <xf numFmtId="0" fontId="0" fillId="0" borderId="43" xfId="0" applyBorder="1"/>
    <xf numFmtId="164" fontId="2" fillId="0" borderId="45" xfId="1" applyNumberFormat="1" applyBorder="1" applyAlignment="1">
      <alignment horizontal="center"/>
    </xf>
    <xf numFmtId="164" fontId="2" fillId="8" borderId="32" xfId="1" applyNumberFormat="1" applyFill="1" applyBorder="1" applyAlignment="1">
      <alignment horizontal="center"/>
    </xf>
    <xf numFmtId="164" fontId="2" fillId="8" borderId="33" xfId="1" applyNumberFormat="1" applyFill="1" applyBorder="1" applyAlignment="1">
      <alignment horizontal="center"/>
    </xf>
    <xf numFmtId="0" fontId="2" fillId="8" borderId="29" xfId="1" applyFill="1" applyBorder="1" applyAlignment="1">
      <alignment horizontal="center"/>
    </xf>
    <xf numFmtId="0" fontId="2" fillId="8" borderId="30" xfId="1" applyFill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0" fontId="2" fillId="0" borderId="29" xfId="1" applyBorder="1" applyAlignment="1">
      <alignment horizontal="center"/>
    </xf>
    <xf numFmtId="0" fontId="2" fillId="0" borderId="30" xfId="1" applyBorder="1" applyAlignment="1">
      <alignment horizontal="center"/>
    </xf>
    <xf numFmtId="164" fontId="2" fillId="8" borderId="29" xfId="1" applyNumberFormat="1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3" xfId="0" applyBorder="1"/>
    <xf numFmtId="164" fontId="2" fillId="0" borderId="21" xfId="1" applyNumberFormat="1" applyBorder="1" applyAlignment="1">
      <alignment horizontal="center"/>
    </xf>
    <xf numFmtId="0" fontId="0" fillId="0" borderId="25" xfId="0" applyBorder="1"/>
    <xf numFmtId="164" fontId="2" fillId="0" borderId="25" xfId="1" applyNumberFormat="1" applyBorder="1" applyAlignment="1">
      <alignment horizontal="center"/>
    </xf>
    <xf numFmtId="0" fontId="2" fillId="0" borderId="21" xfId="1" applyBorder="1" applyAlignment="1">
      <alignment horizontal="center"/>
    </xf>
    <xf numFmtId="0" fontId="2" fillId="0" borderId="22" xfId="1" applyBorder="1" applyAlignment="1">
      <alignment horizontal="center"/>
    </xf>
    <xf numFmtId="0" fontId="0" fillId="0" borderId="22" xfId="0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0" fontId="5" fillId="5" borderId="3" xfId="1" applyFont="1" applyFill="1" applyBorder="1" applyAlignment="1">
      <alignment horizontal="center"/>
    </xf>
    <xf numFmtId="0" fontId="5" fillId="5" borderId="5" xfId="1" applyFont="1" applyFill="1" applyBorder="1" applyAlignment="1">
      <alignment horizontal="center"/>
    </xf>
    <xf numFmtId="0" fontId="5" fillId="5" borderId="4" xfId="1" applyFont="1" applyFill="1" applyBorder="1" applyAlignment="1">
      <alignment horizontal="center"/>
    </xf>
    <xf numFmtId="0" fontId="5" fillId="5" borderId="7" xfId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7" xfId="0" applyBorder="1"/>
    <xf numFmtId="0" fontId="2" fillId="0" borderId="0" xfId="1"/>
    <xf numFmtId="0" fontId="0" fillId="0" borderId="19" xfId="0" applyBorder="1"/>
    <xf numFmtId="0" fontId="5" fillId="5" borderId="9" xfId="1" applyFont="1" applyFill="1" applyBorder="1" applyAlignment="1">
      <alignment horizontal="center"/>
    </xf>
    <xf numFmtId="0" fontId="5" fillId="5" borderId="7" xfId="1" applyFont="1" applyFill="1" applyBorder="1" applyAlignment="1">
      <alignment horizontal="center"/>
    </xf>
    <xf numFmtId="0" fontId="5" fillId="5" borderId="12" xfId="1" applyFont="1" applyFill="1" applyBorder="1" applyAlignment="1">
      <alignment horizontal="center"/>
    </xf>
    <xf numFmtId="0" fontId="5" fillId="5" borderId="18" xfId="1" applyFont="1" applyFill="1" applyBorder="1" applyAlignment="1">
      <alignment horizontal="center"/>
    </xf>
    <xf numFmtId="0" fontId="5" fillId="5" borderId="14" xfId="1" applyFont="1" applyFill="1" applyBorder="1" applyAlignment="1">
      <alignment horizontal="center"/>
    </xf>
    <xf numFmtId="0" fontId="2" fillId="0" borderId="14" xfId="1" applyBorder="1"/>
    <xf numFmtId="0" fontId="2" fillId="0" borderId="15" xfId="1" applyBorder="1"/>
    <xf numFmtId="0" fontId="5" fillId="5" borderId="16" xfId="1" applyFont="1" applyFill="1" applyBorder="1" applyAlignment="1">
      <alignment horizontal="center"/>
    </xf>
    <xf numFmtId="0" fontId="2" fillId="0" borderId="8" xfId="1" applyBorder="1"/>
    <xf numFmtId="0" fontId="2" fillId="0" borderId="9" xfId="1" applyBorder="1"/>
    <xf numFmtId="0" fontId="5" fillId="5" borderId="0" xfId="1" applyFont="1" applyFill="1" applyAlignment="1">
      <alignment horizontal="center"/>
    </xf>
    <xf numFmtId="0" fontId="5" fillId="5" borderId="17" xfId="1" applyFont="1" applyFill="1" applyBorder="1" applyAlignment="1">
      <alignment horizontal="center"/>
    </xf>
  </cellXfs>
  <cellStyles count="2">
    <cellStyle name="Обычный" xfId="0" builtinId="0"/>
    <cellStyle name="Обычный 2" xfId="1" xr:uid="{6B7F1DEF-7FE5-4616-8633-1291CB092626}"/>
  </cellStyles>
  <dxfs count="124"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B7948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FB7948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B7948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B7948"/>
        </patternFill>
      </fill>
    </dxf>
    <dxf>
      <fill>
        <patternFill>
          <bgColor rgb="FFFFFF00"/>
        </patternFill>
      </fill>
    </dxf>
    <dxf>
      <fill>
        <patternFill>
          <bgColor rgb="FFFB7948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B7948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B7948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B7948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B7948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B7948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B7948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FB7948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B7948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B7948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B7948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B7948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rbon\Desktop\telegram_bot\&#1055;&#1072;&#1088;&#1089;&#1080;&#1085;&#1075;\&#1091;&#1089;&#1083;&#1091;&#1075;&#1080;.xlsx" TargetMode="External"/><Relationship Id="rId1" Type="http://schemas.openxmlformats.org/officeDocument/2006/relationships/externalLinkPath" Target="&#1055;&#1072;&#1088;&#1089;&#1080;&#1085;&#1075;/&#1091;&#1089;&#1083;&#1091;&#1075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rbon\Desktop\telegram_bot\&#1055;&#1072;&#1088;&#1089;&#1080;&#1085;&#1075;\&#1090;&#1086;&#1074;&#1072;&#1088;&#1099;.xlsx" TargetMode="External"/><Relationship Id="rId1" Type="http://schemas.openxmlformats.org/officeDocument/2006/relationships/externalLinkPath" Target="&#1055;&#1072;&#1088;&#1089;&#1080;&#1085;&#1075;/&#1090;&#1086;&#1074;&#1072;&#1088;&#1099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rbon\Desktop\telegram_bot\&#1055;&#1072;&#1088;&#1089;&#1080;&#1085;&#1075;\&#1086;&#1073;&#1091;&#1074;&#1100;.xlsm" TargetMode="External"/><Relationship Id="rId1" Type="http://schemas.openxmlformats.org/officeDocument/2006/relationships/externalLinkPath" Target="&#1055;&#1072;&#1088;&#1089;&#1080;&#1085;&#1075;/&#1086;&#1073;&#1091;&#1074;&#1100;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rbon\Desktop\telegram_bot\&#1055;&#1072;&#1088;&#1089;&#1080;&#1085;&#1075;\&#1072;&#1082;&#1089;&#1099;.xlsx" TargetMode="External"/><Relationship Id="rId1" Type="http://schemas.openxmlformats.org/officeDocument/2006/relationships/externalLinkPath" Target="&#1055;&#1072;&#1088;&#1089;&#1080;&#1085;&#1075;/&#1072;&#1082;&#1089;&#1099;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rbon\Desktop\telegram_bot\&#1055;&#1072;&#1088;&#1089;&#1080;&#1085;&#1075;\&#1082;&#1083;&#1102;&#1095;&#1080;.xlsx" TargetMode="External"/><Relationship Id="rId1" Type="http://schemas.openxmlformats.org/officeDocument/2006/relationships/externalLinkPath" Target="&#1055;&#1072;&#1088;&#1089;&#1080;&#1085;&#1075;/&#1082;&#1083;&#1102;&#1095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Запрос1"/>
      <sheetName val="Лист1"/>
    </sheetNames>
    <sheetDataSet>
      <sheetData sheetId="0">
        <row r="2">
          <cell r="A2">
            <v>46022</v>
          </cell>
          <cell r="D2" t="str">
            <v>Вероника 1996</v>
          </cell>
          <cell r="F2">
            <v>1000</v>
          </cell>
        </row>
        <row r="3">
          <cell r="A3">
            <v>46022</v>
          </cell>
          <cell r="D3" t="str">
            <v>Вероника 1996</v>
          </cell>
          <cell r="F3">
            <v>2860</v>
          </cell>
        </row>
        <row r="4">
          <cell r="A4">
            <v>46022</v>
          </cell>
          <cell r="D4" t="str">
            <v>Вероника 1996</v>
          </cell>
          <cell r="F4">
            <v>3000</v>
          </cell>
        </row>
        <row r="5">
          <cell r="A5">
            <v>46022</v>
          </cell>
          <cell r="D5" t="str">
            <v>Вероника 1996</v>
          </cell>
          <cell r="F5">
            <v>5000</v>
          </cell>
        </row>
        <row r="6">
          <cell r="A6">
            <v>46022</v>
          </cell>
          <cell r="D6" t="str">
            <v>Оганов А.С.3007</v>
          </cell>
          <cell r="F6">
            <v>3500</v>
          </cell>
        </row>
        <row r="7">
          <cell r="A7">
            <v>46024</v>
          </cell>
          <cell r="D7" t="str">
            <v>Екатерина 2201</v>
          </cell>
          <cell r="F7">
            <v>1350</v>
          </cell>
        </row>
        <row r="8">
          <cell r="A8">
            <v>46024</v>
          </cell>
          <cell r="D8" t="str">
            <v>Екатерина 2201</v>
          </cell>
          <cell r="F8">
            <v>2490</v>
          </cell>
        </row>
        <row r="9">
          <cell r="A9">
            <v>46022</v>
          </cell>
          <cell r="D9" t="str">
            <v>Вероника 1996</v>
          </cell>
          <cell r="F9">
            <v>1350</v>
          </cell>
        </row>
        <row r="10">
          <cell r="A10">
            <v>46022</v>
          </cell>
          <cell r="D10" t="str">
            <v>Вероника 1996</v>
          </cell>
          <cell r="F10">
            <v>675</v>
          </cell>
        </row>
        <row r="11">
          <cell r="A11">
            <v>46022</v>
          </cell>
          <cell r="D11" t="str">
            <v>Виктория 2502</v>
          </cell>
          <cell r="F11">
            <v>0</v>
          </cell>
        </row>
        <row r="12">
          <cell r="A12">
            <v>46022</v>
          </cell>
          <cell r="D12" t="str">
            <v>Оганов А.С.1505</v>
          </cell>
          <cell r="F12">
            <v>5500</v>
          </cell>
        </row>
        <row r="13">
          <cell r="A13">
            <v>46022</v>
          </cell>
          <cell r="D13" t="str">
            <v>Виктория 2502</v>
          </cell>
          <cell r="F13">
            <v>1490</v>
          </cell>
        </row>
        <row r="14">
          <cell r="A14">
            <v>46022</v>
          </cell>
          <cell r="D14" t="str">
            <v>Оганов А. С. 2106</v>
          </cell>
          <cell r="F14">
            <v>0</v>
          </cell>
        </row>
        <row r="15">
          <cell r="A15">
            <v>46022</v>
          </cell>
          <cell r="D15" t="str">
            <v>Оганов А. С. 2106</v>
          </cell>
          <cell r="F15">
            <v>5000</v>
          </cell>
        </row>
        <row r="16">
          <cell r="A16">
            <v>46022</v>
          </cell>
          <cell r="D16" t="str">
            <v>Оганов А.С.3007</v>
          </cell>
          <cell r="F16">
            <v>1490</v>
          </cell>
        </row>
        <row r="17">
          <cell r="A17">
            <v>46022</v>
          </cell>
          <cell r="D17" t="str">
            <v>Оганов А.С.3007</v>
          </cell>
          <cell r="F17">
            <v>5000</v>
          </cell>
        </row>
        <row r="18">
          <cell r="A18">
            <v>46024</v>
          </cell>
          <cell r="D18" t="str">
            <v>Екатерина 2201</v>
          </cell>
          <cell r="F18">
            <v>1300</v>
          </cell>
        </row>
        <row r="19">
          <cell r="A19">
            <v>46024</v>
          </cell>
          <cell r="D19" t="str">
            <v>Екатерина 2201</v>
          </cell>
          <cell r="F19">
            <v>5000</v>
          </cell>
        </row>
        <row r="20">
          <cell r="A20">
            <v>46024</v>
          </cell>
          <cell r="D20" t="str">
            <v>Оганов А.С.5984</v>
          </cell>
          <cell r="F20">
            <v>690</v>
          </cell>
        </row>
        <row r="21">
          <cell r="A21">
            <v>46024</v>
          </cell>
          <cell r="D21" t="str">
            <v>Оганов А.С.5984</v>
          </cell>
          <cell r="F21">
            <v>230</v>
          </cell>
        </row>
        <row r="22">
          <cell r="A22">
            <v>46024</v>
          </cell>
          <cell r="D22" t="str">
            <v>Любовь 1302</v>
          </cell>
          <cell r="F22">
            <v>2590</v>
          </cell>
        </row>
        <row r="23">
          <cell r="A23">
            <v>46024</v>
          </cell>
          <cell r="D23" t="str">
            <v>Оганов А.С.2404</v>
          </cell>
          <cell r="F23">
            <v>1380</v>
          </cell>
        </row>
        <row r="24">
          <cell r="A24">
            <v>46024</v>
          </cell>
          <cell r="D24" t="str">
            <v>Екатерина 2201</v>
          </cell>
          <cell r="F24">
            <v>790</v>
          </cell>
        </row>
        <row r="25">
          <cell r="A25">
            <v>46024</v>
          </cell>
          <cell r="D25" t="str">
            <v>Екатерина 2201</v>
          </cell>
          <cell r="F25">
            <v>1050</v>
          </cell>
        </row>
        <row r="26">
          <cell r="A26">
            <v>46024</v>
          </cell>
          <cell r="D26" t="str">
            <v>Екатерина 2201</v>
          </cell>
          <cell r="F26">
            <v>290</v>
          </cell>
        </row>
        <row r="27">
          <cell r="A27">
            <v>46024</v>
          </cell>
          <cell r="D27" t="str">
            <v>Екатерина 2201</v>
          </cell>
          <cell r="F27">
            <v>1380</v>
          </cell>
        </row>
        <row r="28">
          <cell r="A28">
            <v>46024</v>
          </cell>
          <cell r="D28" t="str">
            <v>Екатерина 2201</v>
          </cell>
          <cell r="F28">
            <v>645</v>
          </cell>
        </row>
        <row r="29">
          <cell r="A29">
            <v>46024</v>
          </cell>
          <cell r="D29" t="str">
            <v>Екатерина 2201</v>
          </cell>
          <cell r="F29">
            <v>1350</v>
          </cell>
        </row>
        <row r="30">
          <cell r="A30">
            <v>46024</v>
          </cell>
          <cell r="D30" t="str">
            <v>Екатерина 2201</v>
          </cell>
          <cell r="F30">
            <v>2500</v>
          </cell>
        </row>
        <row r="31">
          <cell r="A31">
            <v>46024</v>
          </cell>
          <cell r="D31" t="str">
            <v>Екатерина 2201</v>
          </cell>
          <cell r="F31">
            <v>1580</v>
          </cell>
        </row>
        <row r="32">
          <cell r="A32">
            <v>46024</v>
          </cell>
          <cell r="D32" t="str">
            <v>Екатерина 2201</v>
          </cell>
          <cell r="F32">
            <v>2000</v>
          </cell>
        </row>
        <row r="33">
          <cell r="A33">
            <v>46024</v>
          </cell>
          <cell r="D33" t="str">
            <v>Екатерина 2201</v>
          </cell>
          <cell r="F33">
            <v>2000</v>
          </cell>
        </row>
        <row r="34">
          <cell r="A34">
            <v>46024</v>
          </cell>
          <cell r="D34" t="str">
            <v>Алекс 2104</v>
          </cell>
          <cell r="F34">
            <v>2230</v>
          </cell>
        </row>
        <row r="35">
          <cell r="A35">
            <v>46024</v>
          </cell>
          <cell r="D35" t="str">
            <v>Алекс 2104</v>
          </cell>
          <cell r="F35">
            <v>2590</v>
          </cell>
        </row>
        <row r="36">
          <cell r="A36">
            <v>46024</v>
          </cell>
          <cell r="D36" t="str">
            <v>Екатерина 2201</v>
          </cell>
          <cell r="F36">
            <v>1500</v>
          </cell>
        </row>
        <row r="37">
          <cell r="A37">
            <v>46024</v>
          </cell>
          <cell r="D37" t="str">
            <v>Екатерина 2201</v>
          </cell>
          <cell r="F37">
            <v>2590</v>
          </cell>
        </row>
        <row r="38">
          <cell r="A38">
            <v>46025</v>
          </cell>
          <cell r="D38" t="str">
            <v>Екатерина 2201</v>
          </cell>
          <cell r="F38">
            <v>1100</v>
          </cell>
        </row>
        <row r="39">
          <cell r="A39">
            <v>46025</v>
          </cell>
          <cell r="D39" t="str">
            <v>Оганов А.С.5984</v>
          </cell>
          <cell r="F39">
            <v>4470</v>
          </cell>
        </row>
        <row r="40">
          <cell r="A40">
            <v>46025</v>
          </cell>
          <cell r="D40" t="str">
            <v>Оганов А.С.5984</v>
          </cell>
          <cell r="F40">
            <v>2980</v>
          </cell>
        </row>
        <row r="41">
          <cell r="A41">
            <v>46025</v>
          </cell>
          <cell r="D41" t="str">
            <v>Вероника 1996</v>
          </cell>
          <cell r="F41">
            <v>4000</v>
          </cell>
        </row>
        <row r="42">
          <cell r="A42">
            <v>46025</v>
          </cell>
          <cell r="D42" t="str">
            <v>Вероника 1996</v>
          </cell>
          <cell r="F42">
            <v>3590</v>
          </cell>
        </row>
        <row r="43">
          <cell r="A43">
            <v>46025</v>
          </cell>
          <cell r="D43" t="str">
            <v>Вероника 1996</v>
          </cell>
          <cell r="F43">
            <v>2000</v>
          </cell>
        </row>
        <row r="44">
          <cell r="A44">
            <v>46025</v>
          </cell>
          <cell r="D44" t="str">
            <v>Екатерина 2201</v>
          </cell>
          <cell r="F44">
            <v>0</v>
          </cell>
        </row>
        <row r="45">
          <cell r="A45">
            <v>46025</v>
          </cell>
          <cell r="D45" t="str">
            <v>Вероника 1996</v>
          </cell>
          <cell r="F45">
            <v>0</v>
          </cell>
        </row>
        <row r="46">
          <cell r="A46">
            <v>46025</v>
          </cell>
          <cell r="D46" t="str">
            <v>Оганов А.С.5984</v>
          </cell>
          <cell r="F46">
            <v>2590</v>
          </cell>
        </row>
        <row r="47">
          <cell r="A47">
            <v>46025</v>
          </cell>
          <cell r="D47" t="str">
            <v>Оганов А.С.5984</v>
          </cell>
          <cell r="F47">
            <v>777</v>
          </cell>
        </row>
        <row r="48">
          <cell r="A48">
            <v>46025</v>
          </cell>
          <cell r="D48" t="str">
            <v>Вероника 1996</v>
          </cell>
          <cell r="F48">
            <v>2000</v>
          </cell>
        </row>
        <row r="49">
          <cell r="A49">
            <v>46025</v>
          </cell>
          <cell r="D49" t="str">
            <v>Любовь 1302</v>
          </cell>
          <cell r="F49">
            <v>2290</v>
          </cell>
        </row>
        <row r="50">
          <cell r="A50">
            <v>46025</v>
          </cell>
          <cell r="D50" t="str">
            <v>Любовь 1302</v>
          </cell>
          <cell r="F50">
            <v>1380</v>
          </cell>
        </row>
        <row r="51">
          <cell r="A51">
            <v>46025</v>
          </cell>
          <cell r="D51" t="str">
            <v>Любовь 1302</v>
          </cell>
          <cell r="F51">
            <v>0</v>
          </cell>
        </row>
        <row r="52">
          <cell r="A52">
            <v>46025</v>
          </cell>
          <cell r="D52" t="str">
            <v>Любовь 1302</v>
          </cell>
          <cell r="F52">
            <v>7000</v>
          </cell>
        </row>
        <row r="53">
          <cell r="A53">
            <v>46025</v>
          </cell>
          <cell r="D53" t="str">
            <v>Любовь 1302</v>
          </cell>
          <cell r="F53">
            <v>1500</v>
          </cell>
        </row>
        <row r="54">
          <cell r="A54">
            <v>46025</v>
          </cell>
          <cell r="D54" t="str">
            <v>Любовь 1302</v>
          </cell>
          <cell r="F54">
            <v>4790</v>
          </cell>
        </row>
        <row r="55">
          <cell r="A55">
            <v>46025</v>
          </cell>
          <cell r="D55" t="str">
            <v>Екатерина 2201</v>
          </cell>
          <cell r="F55">
            <v>0</v>
          </cell>
        </row>
        <row r="56">
          <cell r="A56">
            <v>46025</v>
          </cell>
          <cell r="D56" t="str">
            <v>Екатерина 2201</v>
          </cell>
          <cell r="F56">
            <v>200</v>
          </cell>
        </row>
        <row r="57">
          <cell r="A57">
            <v>46025</v>
          </cell>
          <cell r="D57" t="str">
            <v>Вероника 1996</v>
          </cell>
          <cell r="F57">
            <v>1490</v>
          </cell>
        </row>
        <row r="58">
          <cell r="A58">
            <v>46025</v>
          </cell>
          <cell r="D58" t="str">
            <v>Вероника 1996</v>
          </cell>
          <cell r="F58">
            <v>3590</v>
          </cell>
        </row>
        <row r="59">
          <cell r="A59">
            <v>46025</v>
          </cell>
          <cell r="D59" t="str">
            <v>Вероника 1996</v>
          </cell>
          <cell r="F59">
            <v>2860</v>
          </cell>
        </row>
        <row r="60">
          <cell r="A60">
            <v>46025</v>
          </cell>
          <cell r="D60" t="str">
            <v>Вероника 1996</v>
          </cell>
          <cell r="F60">
            <v>5500</v>
          </cell>
        </row>
        <row r="61">
          <cell r="A61">
            <v>46025</v>
          </cell>
          <cell r="D61" t="str">
            <v>Екатерина 2201</v>
          </cell>
          <cell r="F61">
            <v>0</v>
          </cell>
        </row>
        <row r="62">
          <cell r="A62">
            <v>46026</v>
          </cell>
          <cell r="D62" t="str">
            <v>Виктория 2502</v>
          </cell>
          <cell r="F62">
            <v>4770</v>
          </cell>
        </row>
        <row r="63">
          <cell r="A63">
            <v>46026</v>
          </cell>
          <cell r="D63" t="str">
            <v>Виктория 2502</v>
          </cell>
          <cell r="F63">
            <v>3000</v>
          </cell>
        </row>
        <row r="64">
          <cell r="A64">
            <v>46027</v>
          </cell>
          <cell r="D64" t="str">
            <v>Виктория 2502</v>
          </cell>
          <cell r="F64">
            <v>3000</v>
          </cell>
        </row>
        <row r="65">
          <cell r="A65">
            <v>46026</v>
          </cell>
          <cell r="D65" t="str">
            <v>Оганов А.С.3007</v>
          </cell>
          <cell r="F65">
            <v>2980</v>
          </cell>
        </row>
        <row r="66">
          <cell r="A66">
            <v>46026</v>
          </cell>
          <cell r="D66" t="str">
            <v>Виктория 2502</v>
          </cell>
          <cell r="F66">
            <v>790</v>
          </cell>
        </row>
        <row r="67">
          <cell r="A67">
            <v>46026</v>
          </cell>
          <cell r="D67" t="str">
            <v>Оганов А.С.3007</v>
          </cell>
          <cell r="F67">
            <v>6000</v>
          </cell>
        </row>
        <row r="68">
          <cell r="A68">
            <v>46026</v>
          </cell>
          <cell r="D68" t="str">
            <v>Оганов А.С.2404</v>
          </cell>
          <cell r="F68">
            <v>890</v>
          </cell>
        </row>
        <row r="69">
          <cell r="A69">
            <v>46026</v>
          </cell>
          <cell r="D69" t="str">
            <v>Вероника 1996</v>
          </cell>
          <cell r="F69">
            <v>1500</v>
          </cell>
        </row>
        <row r="70">
          <cell r="A70">
            <v>46026</v>
          </cell>
          <cell r="D70" t="str">
            <v>Вероника 1996</v>
          </cell>
          <cell r="F70">
            <v>6000</v>
          </cell>
        </row>
        <row r="71">
          <cell r="A71">
            <v>46026</v>
          </cell>
          <cell r="D71" t="str">
            <v>Виктория 2502</v>
          </cell>
          <cell r="F71">
            <v>0</v>
          </cell>
        </row>
        <row r="72">
          <cell r="A72">
            <v>46026</v>
          </cell>
          <cell r="D72" t="str">
            <v>Виктория 2502</v>
          </cell>
          <cell r="F72">
            <v>1580</v>
          </cell>
        </row>
        <row r="73">
          <cell r="A73">
            <v>46026</v>
          </cell>
          <cell r="D73" t="str">
            <v>Оганов А.С.2404</v>
          </cell>
          <cell r="F73">
            <v>1490</v>
          </cell>
        </row>
        <row r="74">
          <cell r="A74">
            <v>46026</v>
          </cell>
          <cell r="D74" t="str">
            <v>Вероника 1996</v>
          </cell>
          <cell r="F74">
            <v>3590</v>
          </cell>
        </row>
        <row r="75">
          <cell r="A75">
            <v>46026</v>
          </cell>
          <cell r="D75" t="str">
            <v>Вероника 1996</v>
          </cell>
          <cell r="F75">
            <v>0</v>
          </cell>
        </row>
        <row r="76">
          <cell r="A76">
            <v>46026</v>
          </cell>
          <cell r="D76" t="str">
            <v>Вероника 1996</v>
          </cell>
          <cell r="F76">
            <v>2490</v>
          </cell>
        </row>
        <row r="77">
          <cell r="A77">
            <v>46026</v>
          </cell>
          <cell r="D77" t="str">
            <v>Вероника 1996</v>
          </cell>
          <cell r="F77">
            <v>2500</v>
          </cell>
        </row>
        <row r="78">
          <cell r="A78">
            <v>46026</v>
          </cell>
          <cell r="D78" t="str">
            <v>Вероника 1996</v>
          </cell>
          <cell r="F78">
            <v>2500</v>
          </cell>
        </row>
        <row r="79">
          <cell r="A79">
            <v>46026</v>
          </cell>
          <cell r="D79" t="str">
            <v>Вероника 1996</v>
          </cell>
          <cell r="F79">
            <v>2290</v>
          </cell>
        </row>
        <row r="80">
          <cell r="A80">
            <v>46026</v>
          </cell>
          <cell r="D80" t="str">
            <v>Вероника 1996</v>
          </cell>
          <cell r="F80">
            <v>3580</v>
          </cell>
        </row>
        <row r="81">
          <cell r="A81">
            <v>46026</v>
          </cell>
          <cell r="D81" t="str">
            <v>Оганов А.С.3007</v>
          </cell>
          <cell r="F81">
            <v>1500</v>
          </cell>
        </row>
        <row r="82">
          <cell r="A82">
            <v>46026</v>
          </cell>
          <cell r="D82" t="str">
            <v>Оганов А. С. 2106</v>
          </cell>
          <cell r="F82">
            <v>1390</v>
          </cell>
        </row>
        <row r="83">
          <cell r="A83">
            <v>46026</v>
          </cell>
          <cell r="D83" t="str">
            <v>Вероника 1996</v>
          </cell>
          <cell r="F83">
            <v>2600</v>
          </cell>
        </row>
        <row r="84">
          <cell r="A84">
            <v>46026</v>
          </cell>
          <cell r="D84" t="str">
            <v>Вероника 1996</v>
          </cell>
          <cell r="F84">
            <v>0</v>
          </cell>
        </row>
        <row r="85">
          <cell r="A85">
            <v>46026</v>
          </cell>
          <cell r="D85" t="str">
            <v>Виктория 2502</v>
          </cell>
          <cell r="F85">
            <v>1790</v>
          </cell>
        </row>
        <row r="86">
          <cell r="A86">
            <v>46026</v>
          </cell>
          <cell r="D86" t="str">
            <v>Вероника 1996</v>
          </cell>
          <cell r="F86">
            <v>5000</v>
          </cell>
        </row>
        <row r="87">
          <cell r="A87">
            <v>46026</v>
          </cell>
          <cell r="D87" t="str">
            <v>Виктория 2502</v>
          </cell>
          <cell r="F87">
            <v>2590</v>
          </cell>
        </row>
        <row r="88">
          <cell r="A88">
            <v>46026</v>
          </cell>
          <cell r="D88" t="str">
            <v>Виктория 2502</v>
          </cell>
          <cell r="F88">
            <v>2500</v>
          </cell>
        </row>
        <row r="89">
          <cell r="A89">
            <v>46026</v>
          </cell>
          <cell r="D89" t="str">
            <v>Виктория 2502</v>
          </cell>
          <cell r="F89">
            <v>2290</v>
          </cell>
        </row>
        <row r="90">
          <cell r="A90">
            <v>46026</v>
          </cell>
          <cell r="D90" t="str">
            <v>Виктория 2502</v>
          </cell>
          <cell r="F90">
            <v>1290</v>
          </cell>
        </row>
        <row r="91">
          <cell r="A91">
            <v>46026</v>
          </cell>
          <cell r="D91" t="str">
            <v>Виктория 2502</v>
          </cell>
          <cell r="F91">
            <v>950</v>
          </cell>
        </row>
        <row r="92">
          <cell r="A92">
            <v>46026</v>
          </cell>
          <cell r="D92" t="str">
            <v>Вероника 1996</v>
          </cell>
          <cell r="F92">
            <v>3000</v>
          </cell>
        </row>
        <row r="93">
          <cell r="A93">
            <v>46026</v>
          </cell>
          <cell r="D93" t="str">
            <v>Вероника 1996</v>
          </cell>
          <cell r="F93">
            <v>1500</v>
          </cell>
        </row>
        <row r="94">
          <cell r="A94">
            <v>46027</v>
          </cell>
          <cell r="D94" t="str">
            <v>Виктория 2502</v>
          </cell>
          <cell r="F94">
            <v>1490</v>
          </cell>
        </row>
        <row r="95">
          <cell r="A95">
            <v>46027</v>
          </cell>
          <cell r="D95" t="str">
            <v>Виктория 2502</v>
          </cell>
          <cell r="F95">
            <v>4640</v>
          </cell>
        </row>
        <row r="96">
          <cell r="A96">
            <v>46027</v>
          </cell>
          <cell r="D96" t="str">
            <v>Оганов А. С. 2106</v>
          </cell>
          <cell r="F96">
            <v>1470</v>
          </cell>
        </row>
        <row r="97">
          <cell r="A97">
            <v>46027</v>
          </cell>
          <cell r="D97" t="str">
            <v>Виктория 2502</v>
          </cell>
          <cell r="F97">
            <v>5380</v>
          </cell>
        </row>
        <row r="98">
          <cell r="A98">
            <v>46027</v>
          </cell>
          <cell r="D98" t="str">
            <v>Оганов А.С.0102</v>
          </cell>
          <cell r="F98">
            <v>600</v>
          </cell>
        </row>
        <row r="99">
          <cell r="A99">
            <v>46027</v>
          </cell>
          <cell r="D99" t="str">
            <v>Оганов А.С.0102</v>
          </cell>
          <cell r="F99">
            <v>474</v>
          </cell>
        </row>
        <row r="100">
          <cell r="A100">
            <v>46027</v>
          </cell>
          <cell r="D100" t="str">
            <v>Оганов А.С.0102</v>
          </cell>
          <cell r="F100">
            <v>174</v>
          </cell>
        </row>
        <row r="101">
          <cell r="A101">
            <v>46027</v>
          </cell>
          <cell r="D101" t="str">
            <v>Оганов А.С.0102</v>
          </cell>
          <cell r="F101">
            <v>2400</v>
          </cell>
        </row>
        <row r="102">
          <cell r="A102">
            <v>46027</v>
          </cell>
          <cell r="D102" t="str">
            <v>Оганов А.С.0102</v>
          </cell>
          <cell r="F102">
            <v>2000</v>
          </cell>
        </row>
        <row r="103">
          <cell r="A103">
            <v>46027</v>
          </cell>
          <cell r="D103" t="str">
            <v>Оганов А.С.0102</v>
          </cell>
          <cell r="F103">
            <v>4200</v>
          </cell>
        </row>
        <row r="104">
          <cell r="A104">
            <v>46027</v>
          </cell>
          <cell r="D104" t="str">
            <v>Виктория 2502</v>
          </cell>
          <cell r="F104">
            <v>690</v>
          </cell>
        </row>
        <row r="105">
          <cell r="A105">
            <v>46027</v>
          </cell>
          <cell r="D105" t="str">
            <v>Оганов А.С.0102</v>
          </cell>
          <cell r="F105">
            <v>1490</v>
          </cell>
        </row>
        <row r="106">
          <cell r="A106">
            <v>46027</v>
          </cell>
          <cell r="D106" t="str">
            <v>Оганов А.С.0102</v>
          </cell>
          <cell r="F106">
            <v>745</v>
          </cell>
        </row>
        <row r="107">
          <cell r="A107">
            <v>46027</v>
          </cell>
          <cell r="D107" t="str">
            <v>Виктория 2502</v>
          </cell>
          <cell r="F107">
            <v>3980</v>
          </cell>
        </row>
        <row r="108">
          <cell r="A108">
            <v>46027</v>
          </cell>
          <cell r="D108" t="str">
            <v>Оганов А.С.3007</v>
          </cell>
          <cell r="F108">
            <v>1990</v>
          </cell>
        </row>
        <row r="109">
          <cell r="A109">
            <v>46027</v>
          </cell>
          <cell r="D109" t="str">
            <v>Оганов А.С.3007</v>
          </cell>
          <cell r="F109">
            <v>2860</v>
          </cell>
        </row>
        <row r="110">
          <cell r="A110">
            <v>46027</v>
          </cell>
          <cell r="D110" t="str">
            <v>Оганов А. С. 2106</v>
          </cell>
          <cell r="F110">
            <v>3000</v>
          </cell>
        </row>
        <row r="111">
          <cell r="A111">
            <v>46027</v>
          </cell>
          <cell r="D111" t="str">
            <v>Оганов А. С. 2106</v>
          </cell>
          <cell r="F111">
            <v>1290</v>
          </cell>
        </row>
        <row r="112">
          <cell r="A112">
            <v>46027</v>
          </cell>
          <cell r="D112" t="str">
            <v>Оганов А. С. 2106</v>
          </cell>
          <cell r="F112">
            <v>1350</v>
          </cell>
        </row>
        <row r="113">
          <cell r="A113">
            <v>46027</v>
          </cell>
          <cell r="D113" t="str">
            <v>Оганов А. С. 2106</v>
          </cell>
          <cell r="F113">
            <v>2980</v>
          </cell>
        </row>
        <row r="114">
          <cell r="A114">
            <v>46027</v>
          </cell>
          <cell r="D114" t="str">
            <v>Оганов А.С.0102</v>
          </cell>
          <cell r="F114">
            <v>1380</v>
          </cell>
        </row>
        <row r="115">
          <cell r="A115">
            <v>46027</v>
          </cell>
          <cell r="D115" t="str">
            <v>Оганов А.С.0102</v>
          </cell>
          <cell r="F115">
            <v>0</v>
          </cell>
        </row>
        <row r="116">
          <cell r="A116">
            <v>46027</v>
          </cell>
          <cell r="D116" t="str">
            <v>Оганов А.С.0102</v>
          </cell>
          <cell r="F116">
            <v>2290</v>
          </cell>
        </row>
        <row r="117">
          <cell r="A117">
            <v>46027</v>
          </cell>
          <cell r="D117" t="str">
            <v>Оганов А.С.0102</v>
          </cell>
          <cell r="F117">
            <v>1590</v>
          </cell>
        </row>
        <row r="118">
          <cell r="A118">
            <v>46027</v>
          </cell>
          <cell r="D118" t="str">
            <v>Оганов А.С.0102</v>
          </cell>
          <cell r="F118">
            <v>0</v>
          </cell>
        </row>
        <row r="119">
          <cell r="A119">
            <v>46027</v>
          </cell>
          <cell r="D119" t="str">
            <v>Оганов А.С.0102</v>
          </cell>
          <cell r="F119">
            <v>0</v>
          </cell>
        </row>
        <row r="120">
          <cell r="A120">
            <v>46027</v>
          </cell>
          <cell r="D120" t="str">
            <v>Виктория 2502</v>
          </cell>
          <cell r="F120">
            <v>790</v>
          </cell>
        </row>
        <row r="121">
          <cell r="A121">
            <v>46027</v>
          </cell>
          <cell r="D121" t="str">
            <v>Оганов А.С.0102</v>
          </cell>
          <cell r="F121">
            <v>5500</v>
          </cell>
        </row>
        <row r="122">
          <cell r="A122">
            <v>46027</v>
          </cell>
          <cell r="D122" t="str">
            <v>Оганов А.С.0102</v>
          </cell>
          <cell r="F122">
            <v>2490</v>
          </cell>
        </row>
        <row r="123">
          <cell r="A123">
            <v>46027</v>
          </cell>
          <cell r="D123" t="str">
            <v>Оганов А.С.0102</v>
          </cell>
          <cell r="F123">
            <v>1350</v>
          </cell>
        </row>
        <row r="124">
          <cell r="A124">
            <v>46027</v>
          </cell>
          <cell r="D124" t="str">
            <v>Оганов А.С.0102</v>
          </cell>
          <cell r="F124">
            <v>1534</v>
          </cell>
        </row>
        <row r="125">
          <cell r="A125">
            <v>46027</v>
          </cell>
          <cell r="D125" t="str">
            <v>Виктория 2502</v>
          </cell>
          <cell r="F125">
            <v>790</v>
          </cell>
        </row>
        <row r="126">
          <cell r="A126">
            <v>46027</v>
          </cell>
          <cell r="D126" t="str">
            <v>Оганов А.С.0102</v>
          </cell>
          <cell r="F126">
            <v>1490</v>
          </cell>
        </row>
        <row r="127">
          <cell r="A127">
            <v>46027</v>
          </cell>
          <cell r="D127" t="str">
            <v>Оганов А.С.3007</v>
          </cell>
          <cell r="F127">
            <v>1280</v>
          </cell>
        </row>
        <row r="128">
          <cell r="A128">
            <v>46027</v>
          </cell>
          <cell r="D128" t="str">
            <v>Оганов А.С.3007</v>
          </cell>
          <cell r="F128">
            <v>1290</v>
          </cell>
        </row>
        <row r="129">
          <cell r="A129">
            <v>46027</v>
          </cell>
          <cell r="D129" t="str">
            <v>Оганов А.С.3007</v>
          </cell>
          <cell r="F129">
            <v>490</v>
          </cell>
        </row>
        <row r="130">
          <cell r="A130">
            <v>46027</v>
          </cell>
          <cell r="D130" t="str">
            <v>Алекс 2104</v>
          </cell>
          <cell r="F130">
            <v>1300</v>
          </cell>
        </row>
        <row r="131">
          <cell r="A131">
            <v>46027</v>
          </cell>
          <cell r="D131" t="str">
            <v>Оганов А.С.0102</v>
          </cell>
          <cell r="F131">
            <v>0</v>
          </cell>
        </row>
        <row r="132">
          <cell r="A132">
            <v>46027</v>
          </cell>
          <cell r="D132" t="str">
            <v>Оганов А.С.0102</v>
          </cell>
          <cell r="F132">
            <v>1390</v>
          </cell>
        </row>
        <row r="133">
          <cell r="A133">
            <v>46027</v>
          </cell>
          <cell r="D133" t="str">
            <v>Алекс 2104</v>
          </cell>
          <cell r="F133">
            <v>5500</v>
          </cell>
        </row>
        <row r="134">
          <cell r="A134">
            <v>46027</v>
          </cell>
          <cell r="D134" t="str">
            <v>Оганов А.С.3007</v>
          </cell>
          <cell r="F134">
            <v>5500</v>
          </cell>
        </row>
        <row r="135">
          <cell r="A135">
            <v>46027</v>
          </cell>
          <cell r="D135" t="str">
            <v>Алекс 2104</v>
          </cell>
          <cell r="F135">
            <v>1500</v>
          </cell>
        </row>
        <row r="136">
          <cell r="A136">
            <v>46030</v>
          </cell>
          <cell r="D136" t="str">
            <v>Оганов А.С.3007</v>
          </cell>
          <cell r="F136">
            <v>4000</v>
          </cell>
        </row>
        <row r="137">
          <cell r="A137">
            <v>46027</v>
          </cell>
          <cell r="D137" t="str">
            <v>Виктория 2502</v>
          </cell>
          <cell r="F137">
            <v>2590</v>
          </cell>
        </row>
        <row r="138">
          <cell r="A138">
            <v>46027</v>
          </cell>
          <cell r="D138" t="str">
            <v>Виктория 2502</v>
          </cell>
          <cell r="F138">
            <v>0</v>
          </cell>
        </row>
        <row r="139">
          <cell r="A139">
            <v>46027</v>
          </cell>
          <cell r="D139" t="str">
            <v>Виктория 2502</v>
          </cell>
          <cell r="F139">
            <v>0</v>
          </cell>
        </row>
        <row r="140">
          <cell r="A140">
            <v>46027</v>
          </cell>
          <cell r="D140" t="str">
            <v>Виктория 2502</v>
          </cell>
          <cell r="F140">
            <v>2590</v>
          </cell>
        </row>
        <row r="141">
          <cell r="A141">
            <v>46027</v>
          </cell>
          <cell r="D141" t="str">
            <v>Виктория 2502</v>
          </cell>
          <cell r="F141">
            <v>1790</v>
          </cell>
        </row>
        <row r="142">
          <cell r="A142">
            <v>46027</v>
          </cell>
          <cell r="D142" t="str">
            <v>Оганов А.С.3007</v>
          </cell>
          <cell r="F142">
            <v>690</v>
          </cell>
        </row>
        <row r="143">
          <cell r="A143">
            <v>46027</v>
          </cell>
          <cell r="D143" t="str">
            <v>Виктория 2502</v>
          </cell>
          <cell r="F143">
            <v>0</v>
          </cell>
        </row>
        <row r="144">
          <cell r="A144">
            <v>46027</v>
          </cell>
          <cell r="D144" t="str">
            <v>Виктория 2502</v>
          </cell>
          <cell r="F144">
            <v>0</v>
          </cell>
        </row>
        <row r="145">
          <cell r="A145">
            <v>46027</v>
          </cell>
          <cell r="D145" t="str">
            <v>Виктория 2502</v>
          </cell>
          <cell r="F145">
            <v>3990</v>
          </cell>
        </row>
        <row r="146">
          <cell r="A146">
            <v>46027</v>
          </cell>
          <cell r="D146" t="str">
            <v>Виктория 2502</v>
          </cell>
          <cell r="F146">
            <v>1050</v>
          </cell>
        </row>
        <row r="147">
          <cell r="A147">
            <v>46027</v>
          </cell>
          <cell r="D147" t="str">
            <v>Оганов А.С.0102</v>
          </cell>
          <cell r="F147">
            <v>1500</v>
          </cell>
        </row>
        <row r="148">
          <cell r="A148">
            <v>46027</v>
          </cell>
          <cell r="D148" t="str">
            <v>Оганов А. С. 2106</v>
          </cell>
          <cell r="F148">
            <v>3500</v>
          </cell>
        </row>
        <row r="149">
          <cell r="A149">
            <v>46027</v>
          </cell>
          <cell r="D149" t="str">
            <v>Оганов А. С. 2106</v>
          </cell>
          <cell r="F149">
            <v>1500</v>
          </cell>
        </row>
        <row r="150">
          <cell r="A150">
            <v>46028</v>
          </cell>
          <cell r="D150" t="str">
            <v>Оганов А.С.3007</v>
          </cell>
          <cell r="F150">
            <v>4490</v>
          </cell>
        </row>
        <row r="151">
          <cell r="A151">
            <v>46028</v>
          </cell>
          <cell r="D151" t="str">
            <v>Оганов А.С.3007</v>
          </cell>
          <cell r="F151">
            <v>3000</v>
          </cell>
        </row>
        <row r="152">
          <cell r="A152">
            <v>46028</v>
          </cell>
          <cell r="D152" t="str">
            <v>Екатерина 2201</v>
          </cell>
          <cell r="F152">
            <v>1280</v>
          </cell>
        </row>
        <row r="153">
          <cell r="A153">
            <v>46028</v>
          </cell>
          <cell r="D153" t="str">
            <v>Екатерина 2201</v>
          </cell>
          <cell r="F153">
            <v>0</v>
          </cell>
        </row>
        <row r="154">
          <cell r="A154">
            <v>46028</v>
          </cell>
          <cell r="D154" t="str">
            <v>Оганов А.С.3007</v>
          </cell>
          <cell r="F154">
            <v>2980</v>
          </cell>
        </row>
        <row r="155">
          <cell r="A155">
            <v>46028</v>
          </cell>
          <cell r="D155" t="str">
            <v>Оганов А.С.3007</v>
          </cell>
          <cell r="F155">
            <v>2860</v>
          </cell>
        </row>
        <row r="156">
          <cell r="A156">
            <v>46028</v>
          </cell>
          <cell r="D156" t="str">
            <v>Любовь 1302</v>
          </cell>
          <cell r="F156">
            <v>5490</v>
          </cell>
        </row>
        <row r="157">
          <cell r="A157">
            <v>46028</v>
          </cell>
          <cell r="D157" t="str">
            <v>Любовь 1302</v>
          </cell>
          <cell r="F157">
            <v>2390</v>
          </cell>
        </row>
        <row r="158">
          <cell r="A158">
            <v>46028</v>
          </cell>
          <cell r="D158" t="str">
            <v>Оганов А.С.3007</v>
          </cell>
          <cell r="F158">
            <v>2000</v>
          </cell>
        </row>
        <row r="159">
          <cell r="A159">
            <v>46028</v>
          </cell>
          <cell r="D159" t="str">
            <v>Оганов А.С.1505</v>
          </cell>
          <cell r="F159">
            <v>0</v>
          </cell>
        </row>
        <row r="160">
          <cell r="A160">
            <v>46028</v>
          </cell>
          <cell r="D160" t="str">
            <v>Оганов А.С.1505</v>
          </cell>
          <cell r="F160">
            <v>0</v>
          </cell>
        </row>
        <row r="161">
          <cell r="A161">
            <v>46028</v>
          </cell>
          <cell r="D161" t="str">
            <v>Оганов А.С.3007</v>
          </cell>
          <cell r="F161">
            <v>5000</v>
          </cell>
        </row>
        <row r="162">
          <cell r="A162">
            <v>46028</v>
          </cell>
          <cell r="D162" t="str">
            <v>Оганов А.С.0102</v>
          </cell>
          <cell r="F162">
            <v>8900</v>
          </cell>
        </row>
        <row r="163">
          <cell r="A163">
            <v>46028</v>
          </cell>
          <cell r="D163" t="str">
            <v>Любовь 1302</v>
          </cell>
          <cell r="F163">
            <v>1490</v>
          </cell>
        </row>
        <row r="164">
          <cell r="A164">
            <v>46028</v>
          </cell>
          <cell r="D164" t="str">
            <v>Екатерина 2201</v>
          </cell>
          <cell r="F164">
            <v>790</v>
          </cell>
        </row>
        <row r="165">
          <cell r="A165">
            <v>46028</v>
          </cell>
          <cell r="D165" t="str">
            <v>Оганов А.С.0102</v>
          </cell>
          <cell r="F165">
            <v>4790</v>
          </cell>
        </row>
        <row r="166">
          <cell r="A166">
            <v>46028</v>
          </cell>
          <cell r="D166" t="str">
            <v>Екатерина 2201</v>
          </cell>
          <cell r="F166">
            <v>1580</v>
          </cell>
        </row>
        <row r="167">
          <cell r="A167">
            <v>46028</v>
          </cell>
          <cell r="D167" t="str">
            <v>Екатерина 2201</v>
          </cell>
          <cell r="F167">
            <v>290</v>
          </cell>
        </row>
        <row r="168">
          <cell r="A168">
            <v>46028</v>
          </cell>
          <cell r="D168" t="str">
            <v>Любовь 1302</v>
          </cell>
          <cell r="F168">
            <v>2980</v>
          </cell>
        </row>
        <row r="169">
          <cell r="A169">
            <v>46028</v>
          </cell>
          <cell r="D169" t="str">
            <v>Любовь 1302</v>
          </cell>
          <cell r="F169">
            <v>690</v>
          </cell>
        </row>
        <row r="170">
          <cell r="A170">
            <v>46028</v>
          </cell>
          <cell r="D170" t="str">
            <v>Екатерина 2201</v>
          </cell>
          <cell r="F170">
            <v>1190</v>
          </cell>
        </row>
        <row r="171">
          <cell r="A171">
            <v>46028</v>
          </cell>
          <cell r="D171" t="str">
            <v>Оганов А.С.3007</v>
          </cell>
          <cell r="F171">
            <v>700</v>
          </cell>
        </row>
        <row r="172">
          <cell r="A172">
            <v>46028</v>
          </cell>
          <cell r="D172" t="str">
            <v>Оганов А.С.0102</v>
          </cell>
          <cell r="F172">
            <v>3498</v>
          </cell>
        </row>
        <row r="173">
          <cell r="A173">
            <v>46028</v>
          </cell>
          <cell r="D173" t="str">
            <v>Оганов А.С.3007</v>
          </cell>
          <cell r="F173">
            <v>650</v>
          </cell>
        </row>
        <row r="174">
          <cell r="A174">
            <v>46028</v>
          </cell>
          <cell r="D174" t="str">
            <v>Екатерина 2201</v>
          </cell>
          <cell r="F174">
            <v>4580</v>
          </cell>
        </row>
        <row r="175">
          <cell r="A175">
            <v>46028</v>
          </cell>
          <cell r="D175" t="str">
            <v>Оганов А.С.0102</v>
          </cell>
          <cell r="F175">
            <v>1290</v>
          </cell>
        </row>
        <row r="176">
          <cell r="A176">
            <v>46028</v>
          </cell>
          <cell r="D176" t="str">
            <v>Екатерина 2201</v>
          </cell>
          <cell r="F176">
            <v>0</v>
          </cell>
        </row>
        <row r="177">
          <cell r="A177">
            <v>46028</v>
          </cell>
          <cell r="D177" t="str">
            <v>Оганов А.С.3007</v>
          </cell>
          <cell r="F177">
            <v>2980</v>
          </cell>
        </row>
        <row r="178">
          <cell r="A178">
            <v>46028</v>
          </cell>
          <cell r="D178" t="str">
            <v>Оганов А.С.3007</v>
          </cell>
          <cell r="F178">
            <v>2980</v>
          </cell>
        </row>
        <row r="179">
          <cell r="A179">
            <v>46028</v>
          </cell>
          <cell r="D179" t="str">
            <v>Оганов А.С.3007</v>
          </cell>
          <cell r="F179">
            <v>690</v>
          </cell>
        </row>
        <row r="180">
          <cell r="A180">
            <v>46028</v>
          </cell>
          <cell r="D180" t="str">
            <v>Оганов А.С.3007</v>
          </cell>
          <cell r="F180">
            <v>490</v>
          </cell>
        </row>
        <row r="181">
          <cell r="A181">
            <v>46028</v>
          </cell>
          <cell r="D181" t="str">
            <v>Екатерина 2201</v>
          </cell>
          <cell r="F181">
            <v>1290</v>
          </cell>
        </row>
        <row r="182">
          <cell r="A182">
            <v>46028</v>
          </cell>
          <cell r="D182" t="str">
            <v>Екатерина 2201</v>
          </cell>
          <cell r="F182">
            <v>1350</v>
          </cell>
        </row>
        <row r="183">
          <cell r="A183">
            <v>46028</v>
          </cell>
          <cell r="D183" t="str">
            <v>Оганов А.С.5984</v>
          </cell>
          <cell r="F183">
            <v>790</v>
          </cell>
        </row>
        <row r="184">
          <cell r="A184">
            <v>46028</v>
          </cell>
          <cell r="D184" t="str">
            <v>Оганов А.С.5984</v>
          </cell>
          <cell r="F184">
            <v>790</v>
          </cell>
        </row>
        <row r="185">
          <cell r="A185">
            <v>46029</v>
          </cell>
          <cell r="D185" t="str">
            <v>Екатерина 2201</v>
          </cell>
          <cell r="F185">
            <v>2690</v>
          </cell>
        </row>
        <row r="186">
          <cell r="A186">
            <v>46029</v>
          </cell>
          <cell r="D186" t="str">
            <v>Екатерина 2201</v>
          </cell>
          <cell r="F186">
            <v>1300</v>
          </cell>
        </row>
        <row r="187">
          <cell r="A187">
            <v>46029</v>
          </cell>
          <cell r="D187" t="str">
            <v>Любовь 1302</v>
          </cell>
          <cell r="F187">
            <v>1390</v>
          </cell>
        </row>
        <row r="188">
          <cell r="A188">
            <v>46029</v>
          </cell>
          <cell r="D188" t="str">
            <v>Оганов А.С.3007</v>
          </cell>
          <cell r="F188">
            <v>2070</v>
          </cell>
        </row>
        <row r="189">
          <cell r="A189">
            <v>46029</v>
          </cell>
          <cell r="D189" t="str">
            <v>Оганов А.С.3007</v>
          </cell>
          <cell r="F189">
            <v>0</v>
          </cell>
        </row>
        <row r="190">
          <cell r="A190">
            <v>46029</v>
          </cell>
          <cell r="D190" t="str">
            <v>Оганов А.С.5984</v>
          </cell>
          <cell r="F190">
            <v>1380</v>
          </cell>
        </row>
        <row r="191">
          <cell r="A191">
            <v>46029</v>
          </cell>
          <cell r="D191" t="str">
            <v>Оганов А.С.1505</v>
          </cell>
          <cell r="F191">
            <v>1350</v>
          </cell>
        </row>
        <row r="192">
          <cell r="A192">
            <v>46029</v>
          </cell>
          <cell r="D192" t="str">
            <v>Екатерина 2201</v>
          </cell>
          <cell r="F192">
            <v>290</v>
          </cell>
        </row>
        <row r="193">
          <cell r="A193">
            <v>46029</v>
          </cell>
          <cell r="D193" t="str">
            <v>Оганов А.С.5984</v>
          </cell>
          <cell r="F193">
            <v>1390</v>
          </cell>
        </row>
        <row r="194">
          <cell r="A194">
            <v>46029</v>
          </cell>
          <cell r="D194" t="str">
            <v>Оганов А.С.5984</v>
          </cell>
          <cell r="F194">
            <v>1390</v>
          </cell>
        </row>
        <row r="195">
          <cell r="A195">
            <v>46029</v>
          </cell>
          <cell r="D195" t="str">
            <v>Оганов А.С.7272</v>
          </cell>
          <cell r="F195">
            <v>6000</v>
          </cell>
        </row>
        <row r="196">
          <cell r="A196">
            <v>46029</v>
          </cell>
          <cell r="D196" t="str">
            <v>Оганов А.С.7272</v>
          </cell>
          <cell r="F196">
            <v>1180</v>
          </cell>
        </row>
        <row r="197">
          <cell r="A197">
            <v>46029</v>
          </cell>
          <cell r="D197" t="str">
            <v>Оганов А.С.5984</v>
          </cell>
          <cell r="F197">
            <v>2500</v>
          </cell>
        </row>
        <row r="198">
          <cell r="A198">
            <v>46029</v>
          </cell>
          <cell r="D198" t="str">
            <v>Екатерина 2201</v>
          </cell>
          <cell r="F198">
            <v>290</v>
          </cell>
        </row>
        <row r="199">
          <cell r="A199">
            <v>46029</v>
          </cell>
          <cell r="D199" t="str">
            <v>Екатерина 2201</v>
          </cell>
          <cell r="F199">
            <v>690</v>
          </cell>
        </row>
        <row r="200">
          <cell r="A200">
            <v>46029</v>
          </cell>
          <cell r="D200" t="str">
            <v>Оганов А.С.7272</v>
          </cell>
          <cell r="F200">
            <v>390</v>
          </cell>
        </row>
        <row r="201">
          <cell r="A201">
            <v>46029</v>
          </cell>
          <cell r="D201" t="str">
            <v>Екатерина 2201</v>
          </cell>
          <cell r="F201">
            <v>1990</v>
          </cell>
        </row>
        <row r="202">
          <cell r="A202">
            <v>46029</v>
          </cell>
          <cell r="D202" t="str">
            <v>Екатерина 2201</v>
          </cell>
          <cell r="F202">
            <v>1500</v>
          </cell>
        </row>
        <row r="203">
          <cell r="A203">
            <v>46029</v>
          </cell>
          <cell r="D203" t="str">
            <v>Оганов А.С.5984</v>
          </cell>
          <cell r="F203">
            <v>690</v>
          </cell>
        </row>
        <row r="204">
          <cell r="A204">
            <v>46029</v>
          </cell>
          <cell r="D204" t="str">
            <v>Оганов А.С.7272</v>
          </cell>
          <cell r="F204">
            <v>600</v>
          </cell>
        </row>
        <row r="205">
          <cell r="A205">
            <v>46029</v>
          </cell>
          <cell r="D205" t="str">
            <v>Екатерина 2201</v>
          </cell>
          <cell r="F205">
            <v>2290</v>
          </cell>
        </row>
        <row r="206">
          <cell r="A206">
            <v>46029</v>
          </cell>
          <cell r="D206" t="str">
            <v>Екатерина 2201</v>
          </cell>
          <cell r="F206">
            <v>2290</v>
          </cell>
        </row>
        <row r="207">
          <cell r="A207">
            <v>46029</v>
          </cell>
          <cell r="D207" t="str">
            <v>Екатерина 2201</v>
          </cell>
          <cell r="F207">
            <v>1380</v>
          </cell>
        </row>
        <row r="208">
          <cell r="A208">
            <v>46029</v>
          </cell>
          <cell r="D208" t="str">
            <v>Екатерина 2201</v>
          </cell>
          <cell r="F208">
            <v>2590</v>
          </cell>
        </row>
        <row r="209">
          <cell r="A209">
            <v>46029</v>
          </cell>
          <cell r="D209" t="str">
            <v>Оганов А.С.1505</v>
          </cell>
          <cell r="F209">
            <v>1729</v>
          </cell>
        </row>
        <row r="210">
          <cell r="A210">
            <v>46029</v>
          </cell>
          <cell r="D210" t="str">
            <v>Оганов А.С.1505</v>
          </cell>
          <cell r="F210">
            <v>2490</v>
          </cell>
        </row>
        <row r="211">
          <cell r="A211">
            <v>46029</v>
          </cell>
          <cell r="D211" t="str">
            <v>Оганов А.С.1505</v>
          </cell>
          <cell r="F211">
            <v>5000</v>
          </cell>
        </row>
        <row r="212">
          <cell r="A212">
            <v>46030</v>
          </cell>
          <cell r="D212" t="str">
            <v>Оганов А.С.7272</v>
          </cell>
          <cell r="F212">
            <v>0</v>
          </cell>
        </row>
        <row r="213">
          <cell r="A213">
            <v>46030</v>
          </cell>
          <cell r="D213" t="str">
            <v>Оганов А.С.7272</v>
          </cell>
          <cell r="F213">
            <v>6996</v>
          </cell>
        </row>
        <row r="214">
          <cell r="A214">
            <v>46030</v>
          </cell>
          <cell r="D214" t="str">
            <v>Виктория 2502</v>
          </cell>
          <cell r="F214">
            <v>200</v>
          </cell>
        </row>
        <row r="215">
          <cell r="A215">
            <v>46030</v>
          </cell>
          <cell r="D215" t="str">
            <v>Виктория 2502</v>
          </cell>
          <cell r="F215">
            <v>2590</v>
          </cell>
        </row>
        <row r="216">
          <cell r="A216">
            <v>46030</v>
          </cell>
          <cell r="D216" t="str">
            <v>Виктория 2502</v>
          </cell>
          <cell r="F216">
            <v>1749</v>
          </cell>
        </row>
        <row r="217">
          <cell r="A217">
            <v>46030</v>
          </cell>
          <cell r="D217" t="str">
            <v>Виктория 2502</v>
          </cell>
          <cell r="F217">
            <v>1750</v>
          </cell>
        </row>
        <row r="218">
          <cell r="A218">
            <v>46030</v>
          </cell>
          <cell r="D218" t="str">
            <v>Виктория 2502</v>
          </cell>
          <cell r="F218">
            <v>0</v>
          </cell>
        </row>
        <row r="219">
          <cell r="A219">
            <v>46030</v>
          </cell>
          <cell r="D219" t="str">
            <v>Виктория 2502</v>
          </cell>
          <cell r="F219">
            <v>0</v>
          </cell>
        </row>
        <row r="220">
          <cell r="A220">
            <v>46030</v>
          </cell>
          <cell r="D220" t="str">
            <v>Виктория 2502</v>
          </cell>
          <cell r="F220">
            <v>300</v>
          </cell>
        </row>
        <row r="221">
          <cell r="A221">
            <v>46030</v>
          </cell>
          <cell r="D221" t="str">
            <v>Виктория 2502</v>
          </cell>
          <cell r="F221">
            <v>690</v>
          </cell>
        </row>
        <row r="222">
          <cell r="A222">
            <v>46030</v>
          </cell>
          <cell r="D222" t="str">
            <v>Виктория 2502</v>
          </cell>
          <cell r="F222">
            <v>790</v>
          </cell>
        </row>
        <row r="223">
          <cell r="A223">
            <v>46030</v>
          </cell>
          <cell r="D223" t="str">
            <v>Виктория 2502</v>
          </cell>
          <cell r="F223">
            <v>290</v>
          </cell>
        </row>
        <row r="224">
          <cell r="A224">
            <v>46030</v>
          </cell>
          <cell r="D224" t="str">
            <v>Виктория 2502</v>
          </cell>
          <cell r="F224">
            <v>500</v>
          </cell>
        </row>
        <row r="225">
          <cell r="A225">
            <v>46030</v>
          </cell>
          <cell r="D225" t="str">
            <v>Виктория 2502</v>
          </cell>
          <cell r="F225">
            <v>300</v>
          </cell>
        </row>
        <row r="226">
          <cell r="A226">
            <v>46030</v>
          </cell>
          <cell r="D226" t="str">
            <v>Виктория 2502</v>
          </cell>
          <cell r="F226">
            <v>0</v>
          </cell>
        </row>
        <row r="227">
          <cell r="A227">
            <v>46030</v>
          </cell>
          <cell r="D227" t="str">
            <v>Виктория 2502</v>
          </cell>
          <cell r="F227">
            <v>1390</v>
          </cell>
        </row>
        <row r="228">
          <cell r="A228">
            <v>46030</v>
          </cell>
          <cell r="D228" t="str">
            <v>Оганов А.С.7272</v>
          </cell>
          <cell r="F228">
            <v>1350</v>
          </cell>
        </row>
        <row r="229">
          <cell r="A229">
            <v>46030</v>
          </cell>
          <cell r="D229" t="str">
            <v>Виктория 2502</v>
          </cell>
          <cell r="F229">
            <v>1690</v>
          </cell>
        </row>
        <row r="230">
          <cell r="A230">
            <v>46030</v>
          </cell>
          <cell r="D230" t="str">
            <v>Оганов А.С.7272</v>
          </cell>
          <cell r="F230">
            <v>15000</v>
          </cell>
        </row>
        <row r="231">
          <cell r="A231">
            <v>46030</v>
          </cell>
          <cell r="D231" t="str">
            <v>Виктория 2502</v>
          </cell>
          <cell r="F231">
            <v>1490</v>
          </cell>
        </row>
        <row r="232">
          <cell r="A232">
            <v>46030</v>
          </cell>
          <cell r="D232" t="str">
            <v>Виктория 2502</v>
          </cell>
          <cell r="F232">
            <v>0</v>
          </cell>
        </row>
        <row r="233">
          <cell r="A233">
            <v>46030</v>
          </cell>
          <cell r="D233" t="str">
            <v>Виктория 2502</v>
          </cell>
          <cell r="F233">
            <v>0</v>
          </cell>
        </row>
        <row r="234">
          <cell r="A234">
            <v>46030</v>
          </cell>
          <cell r="D234" t="str">
            <v>Виктория 2502</v>
          </cell>
          <cell r="F234">
            <v>1490</v>
          </cell>
        </row>
        <row r="235">
          <cell r="A235">
            <v>46030</v>
          </cell>
          <cell r="D235" t="str">
            <v>Оганов А.С.2404</v>
          </cell>
          <cell r="F235">
            <v>890</v>
          </cell>
        </row>
        <row r="236">
          <cell r="A236">
            <v>46030</v>
          </cell>
          <cell r="D236" t="str">
            <v>Оганов А.С.7272</v>
          </cell>
          <cell r="F236">
            <v>790</v>
          </cell>
        </row>
        <row r="237">
          <cell r="A237">
            <v>46030</v>
          </cell>
          <cell r="D237" t="str">
            <v>Виктория 2502</v>
          </cell>
          <cell r="F237">
            <v>2250</v>
          </cell>
        </row>
        <row r="238">
          <cell r="A238">
            <v>46030</v>
          </cell>
          <cell r="D238" t="str">
            <v>Оганов А.С.3007</v>
          </cell>
          <cell r="F238">
            <v>0</v>
          </cell>
        </row>
        <row r="239">
          <cell r="A239">
            <v>46030</v>
          </cell>
          <cell r="D239" t="str">
            <v>Оганов А.С.3007</v>
          </cell>
          <cell r="F239">
            <v>2290</v>
          </cell>
        </row>
        <row r="240">
          <cell r="A240">
            <v>46030</v>
          </cell>
          <cell r="D240" t="str">
            <v>Оганов А.С.3007</v>
          </cell>
          <cell r="F240">
            <v>1500</v>
          </cell>
        </row>
        <row r="241">
          <cell r="A241">
            <v>46030</v>
          </cell>
          <cell r="D241" t="str">
            <v>Алекс 2104</v>
          </cell>
          <cell r="F241">
            <v>1380</v>
          </cell>
        </row>
        <row r="242">
          <cell r="A242">
            <v>46030</v>
          </cell>
          <cell r="D242" t="str">
            <v>Алекс 2104</v>
          </cell>
          <cell r="F242">
            <v>5500</v>
          </cell>
        </row>
        <row r="243">
          <cell r="A243">
            <v>46030</v>
          </cell>
          <cell r="D243" t="str">
            <v>Оганов А. С. 2106</v>
          </cell>
          <cell r="F243">
            <v>980</v>
          </cell>
        </row>
        <row r="244">
          <cell r="A244">
            <v>46030</v>
          </cell>
          <cell r="D244" t="str">
            <v>Виктория 2502</v>
          </cell>
          <cell r="F244">
            <v>1100</v>
          </cell>
        </row>
        <row r="245">
          <cell r="A245">
            <v>46030</v>
          </cell>
          <cell r="D245" t="str">
            <v>Виктория 2502</v>
          </cell>
          <cell r="F245">
            <v>1780</v>
          </cell>
        </row>
        <row r="246">
          <cell r="A246">
            <v>46030</v>
          </cell>
          <cell r="D246" t="str">
            <v>Алекс 2104</v>
          </cell>
          <cell r="F246">
            <v>1990</v>
          </cell>
        </row>
        <row r="247">
          <cell r="A247">
            <v>46030</v>
          </cell>
          <cell r="D247" t="str">
            <v>Оганов А.С.7272</v>
          </cell>
          <cell r="F247">
            <v>3580</v>
          </cell>
        </row>
        <row r="248">
          <cell r="A248">
            <v>46030</v>
          </cell>
          <cell r="D248" t="str">
            <v>Оганов А.С.7272</v>
          </cell>
          <cell r="F248">
            <v>2980</v>
          </cell>
        </row>
        <row r="249">
          <cell r="A249">
            <v>46030</v>
          </cell>
          <cell r="D249" t="str">
            <v>Оганов А.С.7272</v>
          </cell>
          <cell r="F249">
            <v>2000</v>
          </cell>
        </row>
        <row r="250">
          <cell r="A250">
            <v>46030</v>
          </cell>
          <cell r="D250" t="str">
            <v>Виктория 2502</v>
          </cell>
          <cell r="F250">
            <v>1790</v>
          </cell>
        </row>
        <row r="251">
          <cell r="A251">
            <v>46030</v>
          </cell>
          <cell r="D251" t="str">
            <v>Оганов А. С. 2106</v>
          </cell>
          <cell r="F251">
            <v>1295</v>
          </cell>
        </row>
        <row r="252">
          <cell r="A252">
            <v>46030</v>
          </cell>
          <cell r="D252" t="str">
            <v>Оганов А. С. 2106</v>
          </cell>
          <cell r="F252">
            <v>1490</v>
          </cell>
        </row>
        <row r="253">
          <cell r="A253">
            <v>46031</v>
          </cell>
          <cell r="D253" t="str">
            <v>Оганов А. С. 2106</v>
          </cell>
          <cell r="F253">
            <v>3750</v>
          </cell>
        </row>
        <row r="254">
          <cell r="A254">
            <v>46029</v>
          </cell>
          <cell r="D254" t="str">
            <v>Оганов А.С.3007</v>
          </cell>
          <cell r="F254">
            <v>2990</v>
          </cell>
        </row>
        <row r="255">
          <cell r="A255">
            <v>46029</v>
          </cell>
          <cell r="D255" t="str">
            <v>Оганов А.С.3007</v>
          </cell>
          <cell r="F255">
            <v>2490</v>
          </cell>
        </row>
        <row r="256">
          <cell r="A256">
            <v>46030</v>
          </cell>
          <cell r="D256" t="str">
            <v>Алекс 2104</v>
          </cell>
          <cell r="F256">
            <v>5500</v>
          </cell>
        </row>
        <row r="257">
          <cell r="A257">
            <v>46030</v>
          </cell>
          <cell r="D257" t="str">
            <v>Алекс 2104</v>
          </cell>
          <cell r="F257">
            <v>1390</v>
          </cell>
        </row>
        <row r="258">
          <cell r="A258">
            <v>46030</v>
          </cell>
          <cell r="D258" t="str">
            <v>Алекс 2104</v>
          </cell>
          <cell r="F258">
            <v>690</v>
          </cell>
        </row>
        <row r="259">
          <cell r="A259">
            <v>46030</v>
          </cell>
          <cell r="D259" t="str">
            <v>Алекс 2104</v>
          </cell>
          <cell r="F259">
            <v>3000</v>
          </cell>
        </row>
        <row r="260">
          <cell r="A260">
            <v>46030</v>
          </cell>
          <cell r="D260" t="str">
            <v>Алекс 2104</v>
          </cell>
          <cell r="F260">
            <v>1300</v>
          </cell>
        </row>
        <row r="261">
          <cell r="A261">
            <v>46031</v>
          </cell>
          <cell r="D261" t="str">
            <v>Вероника 1996</v>
          </cell>
          <cell r="F261">
            <v>5000</v>
          </cell>
        </row>
        <row r="262">
          <cell r="A262">
            <v>46031</v>
          </cell>
          <cell r="D262" t="str">
            <v>Вероника 1996</v>
          </cell>
          <cell r="F262">
            <v>600</v>
          </cell>
        </row>
        <row r="263">
          <cell r="A263">
            <v>46031</v>
          </cell>
          <cell r="D263" t="str">
            <v>Вероника 1996</v>
          </cell>
          <cell r="F263">
            <v>3000</v>
          </cell>
        </row>
        <row r="264">
          <cell r="A264">
            <v>46031</v>
          </cell>
          <cell r="D264" t="str">
            <v>Вероника 1996</v>
          </cell>
          <cell r="F264">
            <v>2000</v>
          </cell>
        </row>
        <row r="265">
          <cell r="A265">
            <v>46034</v>
          </cell>
          <cell r="D265" t="str">
            <v>Виктория 2502</v>
          </cell>
          <cell r="F265">
            <v>350</v>
          </cell>
        </row>
        <row r="266">
          <cell r="A266">
            <v>46031</v>
          </cell>
          <cell r="D266" t="str">
            <v>Вероника 1996</v>
          </cell>
          <cell r="F266">
            <v>1000</v>
          </cell>
        </row>
        <row r="267">
          <cell r="A267">
            <v>46031</v>
          </cell>
          <cell r="D267" t="str">
            <v>Оганов А.С.3007</v>
          </cell>
          <cell r="F267">
            <v>2190</v>
          </cell>
        </row>
        <row r="268">
          <cell r="A268">
            <v>46031</v>
          </cell>
          <cell r="D268" t="str">
            <v>Оганов А.С.3007</v>
          </cell>
          <cell r="F268">
            <v>1490</v>
          </cell>
        </row>
        <row r="269">
          <cell r="A269">
            <v>46031</v>
          </cell>
          <cell r="D269" t="str">
            <v>Виктория 2502</v>
          </cell>
          <cell r="F269">
            <v>1390</v>
          </cell>
        </row>
        <row r="270">
          <cell r="A270">
            <v>46031</v>
          </cell>
          <cell r="D270" t="str">
            <v>Оганов А.С.2404</v>
          </cell>
          <cell r="F270">
            <v>8900</v>
          </cell>
        </row>
        <row r="271">
          <cell r="A271">
            <v>46031</v>
          </cell>
          <cell r="D271" t="str">
            <v>Оганов А.С.3007</v>
          </cell>
          <cell r="F271">
            <v>1790</v>
          </cell>
        </row>
        <row r="272">
          <cell r="A272">
            <v>46031</v>
          </cell>
          <cell r="D272" t="str">
            <v>Оганов А.С.2404</v>
          </cell>
          <cell r="F272">
            <v>1070</v>
          </cell>
        </row>
        <row r="273">
          <cell r="A273">
            <v>46031</v>
          </cell>
          <cell r="D273" t="str">
            <v>Оганов А.С.2404</v>
          </cell>
          <cell r="F273">
            <v>2490</v>
          </cell>
        </row>
        <row r="274">
          <cell r="A274">
            <v>46031</v>
          </cell>
          <cell r="D274" t="str">
            <v>Виктория 2502</v>
          </cell>
          <cell r="F274">
            <v>300</v>
          </cell>
        </row>
        <row r="275">
          <cell r="A275">
            <v>46031</v>
          </cell>
          <cell r="D275" t="str">
            <v>Вероника 1996</v>
          </cell>
          <cell r="F275">
            <v>6000</v>
          </cell>
        </row>
        <row r="276">
          <cell r="A276">
            <v>46031</v>
          </cell>
          <cell r="D276" t="str">
            <v>Виктория 2502</v>
          </cell>
          <cell r="F276">
            <v>1390</v>
          </cell>
        </row>
        <row r="277">
          <cell r="A277">
            <v>46031</v>
          </cell>
          <cell r="D277" t="str">
            <v>Оганов А.С.2404</v>
          </cell>
          <cell r="F277">
            <v>6000</v>
          </cell>
        </row>
        <row r="278">
          <cell r="A278">
            <v>46031</v>
          </cell>
          <cell r="D278" t="str">
            <v>Виктория 2502</v>
          </cell>
          <cell r="F278">
            <v>790</v>
          </cell>
        </row>
        <row r="279">
          <cell r="A279">
            <v>46031</v>
          </cell>
          <cell r="D279" t="str">
            <v>Виктория 2502</v>
          </cell>
          <cell r="F279">
            <v>2000</v>
          </cell>
        </row>
        <row r="280">
          <cell r="A280">
            <v>46031</v>
          </cell>
          <cell r="D280" t="str">
            <v>Оганов А.С.2404</v>
          </cell>
          <cell r="F280">
            <v>1490</v>
          </cell>
        </row>
        <row r="281">
          <cell r="A281">
            <v>46031</v>
          </cell>
          <cell r="D281" t="str">
            <v>Оганов А. С. 2106</v>
          </cell>
          <cell r="F281">
            <v>980</v>
          </cell>
        </row>
        <row r="282">
          <cell r="A282">
            <v>46034</v>
          </cell>
          <cell r="D282" t="str">
            <v>Екатерина 2201</v>
          </cell>
          <cell r="F282">
            <v>1380</v>
          </cell>
        </row>
        <row r="283">
          <cell r="A283">
            <v>46034</v>
          </cell>
          <cell r="D283" t="str">
            <v>Екатерина 2201</v>
          </cell>
          <cell r="F283">
            <v>1749</v>
          </cell>
        </row>
        <row r="284">
          <cell r="A284">
            <v>46034</v>
          </cell>
          <cell r="D284" t="str">
            <v>Екатерина 2201</v>
          </cell>
          <cell r="F284">
            <v>4000</v>
          </cell>
        </row>
        <row r="285">
          <cell r="A285">
            <v>46034</v>
          </cell>
          <cell r="D285" t="str">
            <v>Екатерина 2201</v>
          </cell>
          <cell r="F285">
            <v>1180</v>
          </cell>
        </row>
        <row r="286">
          <cell r="A286">
            <v>46034</v>
          </cell>
          <cell r="D286" t="str">
            <v>Екатерина 2201</v>
          </cell>
          <cell r="F286">
            <v>0</v>
          </cell>
        </row>
        <row r="287">
          <cell r="A287">
            <v>46034</v>
          </cell>
          <cell r="D287" t="str">
            <v>Екатерина 2201</v>
          </cell>
          <cell r="F287">
            <v>1750</v>
          </cell>
        </row>
        <row r="288">
          <cell r="A288">
            <v>46031</v>
          </cell>
          <cell r="D288" t="str">
            <v>Виктория 2502</v>
          </cell>
          <cell r="F288">
            <v>3580</v>
          </cell>
        </row>
        <row r="289">
          <cell r="A289">
            <v>46031</v>
          </cell>
          <cell r="D289" t="str">
            <v>Виктория 2502</v>
          </cell>
          <cell r="F289">
            <v>1490</v>
          </cell>
        </row>
        <row r="290">
          <cell r="A290">
            <v>46031</v>
          </cell>
          <cell r="D290" t="str">
            <v>Виктория 2502</v>
          </cell>
          <cell r="F290">
            <v>390</v>
          </cell>
        </row>
        <row r="291">
          <cell r="A291">
            <v>46031</v>
          </cell>
          <cell r="D291" t="str">
            <v>Виктория 2502</v>
          </cell>
          <cell r="F291">
            <v>2690</v>
          </cell>
        </row>
        <row r="292">
          <cell r="A292">
            <v>46031</v>
          </cell>
          <cell r="D292" t="str">
            <v>Виктория 2502</v>
          </cell>
          <cell r="F292">
            <v>0</v>
          </cell>
        </row>
        <row r="293">
          <cell r="A293">
            <v>46031</v>
          </cell>
          <cell r="D293" t="str">
            <v>Виктория 2502</v>
          </cell>
          <cell r="F293">
            <v>1490</v>
          </cell>
        </row>
        <row r="294">
          <cell r="A294">
            <v>46031</v>
          </cell>
          <cell r="D294" t="str">
            <v>Оганов А.С.0102</v>
          </cell>
          <cell r="F294">
            <v>7500</v>
          </cell>
        </row>
        <row r="295">
          <cell r="A295">
            <v>46031</v>
          </cell>
          <cell r="D295" t="str">
            <v>Оганов А.С.0102</v>
          </cell>
          <cell r="F295">
            <v>0</v>
          </cell>
        </row>
        <row r="296">
          <cell r="A296">
            <v>46031</v>
          </cell>
          <cell r="D296" t="str">
            <v>Виктория 2502</v>
          </cell>
          <cell r="F296">
            <v>4500</v>
          </cell>
        </row>
        <row r="297">
          <cell r="A297">
            <v>46031</v>
          </cell>
          <cell r="D297" t="str">
            <v>Виктория 2502</v>
          </cell>
          <cell r="F297">
            <v>1490</v>
          </cell>
        </row>
        <row r="298">
          <cell r="A298">
            <v>46031</v>
          </cell>
          <cell r="D298" t="str">
            <v>Виктория 2502</v>
          </cell>
          <cell r="F298">
            <v>1490</v>
          </cell>
        </row>
        <row r="299">
          <cell r="A299">
            <v>46031</v>
          </cell>
          <cell r="D299" t="str">
            <v>Виктория 2502</v>
          </cell>
          <cell r="F299">
            <v>1750</v>
          </cell>
        </row>
        <row r="300">
          <cell r="A300">
            <v>46031</v>
          </cell>
          <cell r="D300" t="str">
            <v>Виктория 2502</v>
          </cell>
          <cell r="F300">
            <v>1750</v>
          </cell>
        </row>
        <row r="301">
          <cell r="A301">
            <v>46031</v>
          </cell>
          <cell r="D301" t="str">
            <v>Вероника 1996</v>
          </cell>
          <cell r="F301">
            <v>5000</v>
          </cell>
        </row>
        <row r="302">
          <cell r="A302">
            <v>46031</v>
          </cell>
          <cell r="D302" t="str">
            <v>Виктория 2502</v>
          </cell>
          <cell r="F302">
            <v>390</v>
          </cell>
        </row>
        <row r="303">
          <cell r="A303">
            <v>46031</v>
          </cell>
          <cell r="D303" t="str">
            <v>Оганов А.С.0102</v>
          </cell>
          <cell r="F303">
            <v>3000</v>
          </cell>
        </row>
        <row r="304">
          <cell r="A304">
            <v>46031</v>
          </cell>
          <cell r="D304" t="str">
            <v>Виктория 2502</v>
          </cell>
          <cell r="F304">
            <v>5000</v>
          </cell>
        </row>
        <row r="305">
          <cell r="A305">
            <v>46037</v>
          </cell>
          <cell r="D305" t="str">
            <v>Оганов А.С.3007</v>
          </cell>
          <cell r="F305">
            <v>490</v>
          </cell>
        </row>
        <row r="306">
          <cell r="A306">
            <v>46031</v>
          </cell>
          <cell r="D306" t="str">
            <v>Виктория 2502</v>
          </cell>
          <cell r="F306">
            <v>1590</v>
          </cell>
        </row>
        <row r="307">
          <cell r="A307">
            <v>46031</v>
          </cell>
          <cell r="D307" t="str">
            <v>Виктория 2502</v>
          </cell>
          <cell r="F307">
            <v>2070</v>
          </cell>
        </row>
        <row r="308">
          <cell r="A308">
            <v>46031</v>
          </cell>
          <cell r="D308" t="str">
            <v>Виктория 2502</v>
          </cell>
          <cell r="F308">
            <v>1290</v>
          </cell>
        </row>
        <row r="309">
          <cell r="A309">
            <v>46031</v>
          </cell>
          <cell r="D309" t="str">
            <v>Виктория 2502</v>
          </cell>
          <cell r="F309">
            <v>1230</v>
          </cell>
        </row>
        <row r="310">
          <cell r="A310">
            <v>46031</v>
          </cell>
          <cell r="D310" t="str">
            <v>Оганов А.С.3007</v>
          </cell>
          <cell r="F310">
            <v>2000</v>
          </cell>
        </row>
        <row r="311">
          <cell r="A311">
            <v>46031</v>
          </cell>
          <cell r="D311" t="str">
            <v>Виктория 2502</v>
          </cell>
          <cell r="F311">
            <v>4500</v>
          </cell>
        </row>
        <row r="312">
          <cell r="A312">
            <v>46031</v>
          </cell>
          <cell r="D312" t="str">
            <v>Виктория 2502</v>
          </cell>
          <cell r="F312">
            <v>2980</v>
          </cell>
        </row>
        <row r="313">
          <cell r="A313">
            <v>46031</v>
          </cell>
          <cell r="D313" t="str">
            <v>Виктория 2502</v>
          </cell>
          <cell r="F313">
            <v>4000</v>
          </cell>
        </row>
        <row r="314">
          <cell r="A314">
            <v>46031</v>
          </cell>
          <cell r="D314" t="str">
            <v>Виктория 2502</v>
          </cell>
          <cell r="F314">
            <v>2980</v>
          </cell>
        </row>
        <row r="315">
          <cell r="A315">
            <v>46031</v>
          </cell>
          <cell r="D315" t="str">
            <v>Виктория 2502</v>
          </cell>
          <cell r="F315">
            <v>1500</v>
          </cell>
        </row>
        <row r="316">
          <cell r="A316">
            <v>46031</v>
          </cell>
          <cell r="D316" t="str">
            <v>Вероника 1996</v>
          </cell>
          <cell r="F316">
            <v>1490</v>
          </cell>
        </row>
        <row r="317">
          <cell r="A317">
            <v>46031</v>
          </cell>
          <cell r="D317" t="str">
            <v>Оганов А.С.3007</v>
          </cell>
          <cell r="F317">
            <v>4780</v>
          </cell>
        </row>
        <row r="318">
          <cell r="A318">
            <v>46031</v>
          </cell>
          <cell r="D318" t="str">
            <v>Оганов А.С.3007</v>
          </cell>
          <cell r="F318">
            <v>13000</v>
          </cell>
        </row>
        <row r="319">
          <cell r="A319">
            <v>46031</v>
          </cell>
          <cell r="D319" t="str">
            <v>Виктория 2502</v>
          </cell>
          <cell r="F319">
            <v>2230</v>
          </cell>
        </row>
        <row r="320">
          <cell r="A320">
            <v>46031</v>
          </cell>
          <cell r="D320" t="str">
            <v>Виктория 2502</v>
          </cell>
          <cell r="F320">
            <v>0</v>
          </cell>
        </row>
        <row r="321">
          <cell r="A321">
            <v>46031</v>
          </cell>
          <cell r="D321" t="str">
            <v>Виктория 2502</v>
          </cell>
          <cell r="F321">
            <v>0</v>
          </cell>
        </row>
        <row r="322">
          <cell r="A322">
            <v>46031</v>
          </cell>
          <cell r="D322" t="str">
            <v>Виктория 2502</v>
          </cell>
          <cell r="F322">
            <v>3000</v>
          </cell>
        </row>
        <row r="323">
          <cell r="A323">
            <v>46031</v>
          </cell>
          <cell r="D323" t="str">
            <v>Виктория 2502</v>
          </cell>
          <cell r="F323">
            <v>5960</v>
          </cell>
        </row>
        <row r="324">
          <cell r="A324">
            <v>46031</v>
          </cell>
          <cell r="D324" t="str">
            <v>Виктория 2502</v>
          </cell>
          <cell r="F324">
            <v>0</v>
          </cell>
        </row>
        <row r="325">
          <cell r="A325">
            <v>46031</v>
          </cell>
          <cell r="D325" t="str">
            <v>Виктория 2502</v>
          </cell>
          <cell r="F325">
            <v>3250</v>
          </cell>
        </row>
        <row r="326">
          <cell r="A326">
            <v>46031</v>
          </cell>
          <cell r="D326" t="str">
            <v>Вероника 1996</v>
          </cell>
          <cell r="F326">
            <v>5500</v>
          </cell>
        </row>
        <row r="327">
          <cell r="A327">
            <v>46031</v>
          </cell>
          <cell r="D327" t="str">
            <v>Оганов А. С. 2106</v>
          </cell>
          <cell r="F327">
            <v>0</v>
          </cell>
        </row>
        <row r="328">
          <cell r="A328">
            <v>46031</v>
          </cell>
          <cell r="D328" t="str">
            <v>Оганов А. С. 2106</v>
          </cell>
          <cell r="F328">
            <v>1500</v>
          </cell>
        </row>
        <row r="329">
          <cell r="A329">
            <v>46031</v>
          </cell>
          <cell r="D329" t="str">
            <v>Оганов А. С. 2106</v>
          </cell>
          <cell r="F329">
            <v>950</v>
          </cell>
        </row>
        <row r="330">
          <cell r="A330">
            <v>46031</v>
          </cell>
          <cell r="D330" t="str">
            <v>Оганов А. С. 2106</v>
          </cell>
          <cell r="F330">
            <v>7500</v>
          </cell>
        </row>
        <row r="331">
          <cell r="A331">
            <v>46031</v>
          </cell>
          <cell r="D331" t="str">
            <v>Оганов А.С.3007</v>
          </cell>
          <cell r="F331">
            <v>5000</v>
          </cell>
        </row>
        <row r="332">
          <cell r="A332">
            <v>46031</v>
          </cell>
          <cell r="D332" t="str">
            <v>Виктория 2502</v>
          </cell>
          <cell r="F332">
            <v>780</v>
          </cell>
        </row>
        <row r="333">
          <cell r="A333">
            <v>46031</v>
          </cell>
          <cell r="D333" t="str">
            <v>Виктория 2502</v>
          </cell>
          <cell r="F333">
            <v>490</v>
          </cell>
        </row>
        <row r="334">
          <cell r="A334">
            <v>46031</v>
          </cell>
          <cell r="D334" t="str">
            <v>Оганов А.С.0102</v>
          </cell>
          <cell r="F334">
            <v>1190</v>
          </cell>
        </row>
        <row r="335">
          <cell r="A335">
            <v>46031</v>
          </cell>
          <cell r="D335" t="str">
            <v>Оганов А.С.0102</v>
          </cell>
          <cell r="F335">
            <v>0</v>
          </cell>
        </row>
        <row r="336">
          <cell r="A336">
            <v>46031</v>
          </cell>
          <cell r="D336" t="str">
            <v>Оганов А.С.0102</v>
          </cell>
          <cell r="F336">
            <v>5500</v>
          </cell>
        </row>
        <row r="337">
          <cell r="A337">
            <v>46031</v>
          </cell>
          <cell r="D337" t="str">
            <v>Оганов А.С.0102</v>
          </cell>
          <cell r="F337">
            <v>490</v>
          </cell>
        </row>
        <row r="338">
          <cell r="A338">
            <v>46034</v>
          </cell>
          <cell r="D338" t="str">
            <v>Оганов А.С.3007</v>
          </cell>
          <cell r="F338">
            <v>1050</v>
          </cell>
        </row>
        <row r="339">
          <cell r="A339">
            <v>46034</v>
          </cell>
          <cell r="D339" t="str">
            <v>Оганов А.С.3007</v>
          </cell>
          <cell r="F339">
            <v>525</v>
          </cell>
        </row>
        <row r="340">
          <cell r="A340">
            <v>46031</v>
          </cell>
          <cell r="D340" t="str">
            <v>Вероника 1996</v>
          </cell>
          <cell r="F340">
            <v>1500</v>
          </cell>
        </row>
        <row r="341">
          <cell r="A341">
            <v>46031</v>
          </cell>
          <cell r="D341" t="str">
            <v>Вероника 1996</v>
          </cell>
          <cell r="F341">
            <v>1500</v>
          </cell>
        </row>
        <row r="342">
          <cell r="A342">
            <v>46031</v>
          </cell>
          <cell r="D342" t="str">
            <v>Вероника 1996</v>
          </cell>
          <cell r="F342">
            <v>0</v>
          </cell>
        </row>
        <row r="343">
          <cell r="A343">
            <v>46031</v>
          </cell>
          <cell r="D343" t="str">
            <v>Вероника 1996</v>
          </cell>
          <cell r="F343">
            <v>5000</v>
          </cell>
        </row>
        <row r="344">
          <cell r="A344">
            <v>46031</v>
          </cell>
          <cell r="D344" t="str">
            <v>Вероника 1996</v>
          </cell>
          <cell r="F344">
            <v>2860</v>
          </cell>
        </row>
        <row r="345">
          <cell r="A345">
            <v>46031</v>
          </cell>
          <cell r="D345" t="str">
            <v>Вероника 1996</v>
          </cell>
          <cell r="F345">
            <v>1500</v>
          </cell>
        </row>
        <row r="346">
          <cell r="A346">
            <v>46032</v>
          </cell>
          <cell r="D346" t="str">
            <v>Екатерина 2201</v>
          </cell>
          <cell r="F346">
            <v>5500</v>
          </cell>
        </row>
        <row r="347">
          <cell r="A347">
            <v>46032</v>
          </cell>
          <cell r="D347" t="str">
            <v>Оганов А.С.0102</v>
          </cell>
          <cell r="F347">
            <v>2000</v>
          </cell>
        </row>
        <row r="348">
          <cell r="A348">
            <v>46032</v>
          </cell>
          <cell r="D348" t="str">
            <v>Оганов А.С.5984</v>
          </cell>
          <cell r="F348">
            <v>5500</v>
          </cell>
        </row>
        <row r="349">
          <cell r="A349">
            <v>46032</v>
          </cell>
          <cell r="D349" t="str">
            <v>Екатерина 2201</v>
          </cell>
          <cell r="F349">
            <v>1790</v>
          </cell>
        </row>
        <row r="350">
          <cell r="A350">
            <v>46032</v>
          </cell>
          <cell r="D350" t="str">
            <v>Оганов А.С.0102</v>
          </cell>
          <cell r="F350">
            <v>1490</v>
          </cell>
        </row>
        <row r="351">
          <cell r="A351">
            <v>46032</v>
          </cell>
          <cell r="D351" t="str">
            <v>Оганов А.С.0102</v>
          </cell>
          <cell r="F351">
            <v>690</v>
          </cell>
        </row>
        <row r="352">
          <cell r="A352">
            <v>46032</v>
          </cell>
          <cell r="D352" t="str">
            <v>Вероника 1996</v>
          </cell>
          <cell r="F352">
            <v>1200</v>
          </cell>
        </row>
        <row r="353">
          <cell r="A353">
            <v>46032</v>
          </cell>
          <cell r="D353" t="str">
            <v>Екатерина 2201</v>
          </cell>
          <cell r="F353">
            <v>2000</v>
          </cell>
        </row>
        <row r="354">
          <cell r="A354">
            <v>46032</v>
          </cell>
          <cell r="D354" t="str">
            <v>Екатерина 2201</v>
          </cell>
          <cell r="F354">
            <v>1750</v>
          </cell>
        </row>
        <row r="355">
          <cell r="A355">
            <v>46032</v>
          </cell>
          <cell r="D355" t="str">
            <v>Оганов А.С.0102</v>
          </cell>
          <cell r="F355">
            <v>4000</v>
          </cell>
        </row>
        <row r="356">
          <cell r="A356">
            <v>46032</v>
          </cell>
          <cell r="D356" t="str">
            <v>Екатерина 2201</v>
          </cell>
          <cell r="F356">
            <v>790</v>
          </cell>
        </row>
        <row r="357">
          <cell r="A357">
            <v>46032</v>
          </cell>
          <cell r="D357" t="str">
            <v>Екатерина 2201</v>
          </cell>
          <cell r="F357">
            <v>395</v>
          </cell>
        </row>
        <row r="358">
          <cell r="A358">
            <v>46032</v>
          </cell>
          <cell r="D358" t="str">
            <v>Екатерина 2201</v>
          </cell>
          <cell r="F358">
            <v>1100</v>
          </cell>
        </row>
        <row r="359">
          <cell r="A359">
            <v>46032</v>
          </cell>
          <cell r="D359" t="str">
            <v>Оганов А.С.0102</v>
          </cell>
          <cell r="F359">
            <v>1350</v>
          </cell>
        </row>
        <row r="360">
          <cell r="A360">
            <v>46032</v>
          </cell>
          <cell r="D360" t="str">
            <v>Вероника 1996</v>
          </cell>
          <cell r="F360">
            <v>1000</v>
          </cell>
        </row>
        <row r="361">
          <cell r="A361">
            <v>46032</v>
          </cell>
          <cell r="D361" t="str">
            <v>Екатерина 2201</v>
          </cell>
          <cell r="F361">
            <v>1380</v>
          </cell>
        </row>
        <row r="362">
          <cell r="A362">
            <v>46032</v>
          </cell>
          <cell r="D362" t="str">
            <v>Оганов А.С.0102</v>
          </cell>
          <cell r="F362">
            <v>1690</v>
          </cell>
        </row>
        <row r="363">
          <cell r="A363">
            <v>46032</v>
          </cell>
          <cell r="D363" t="str">
            <v>Оганов А.С.0102</v>
          </cell>
          <cell r="F363">
            <v>4000</v>
          </cell>
        </row>
        <row r="364">
          <cell r="A364">
            <v>46032</v>
          </cell>
          <cell r="D364" t="str">
            <v>Оганов А.С.0102</v>
          </cell>
          <cell r="F364">
            <v>2000</v>
          </cell>
        </row>
        <row r="365">
          <cell r="A365">
            <v>46032</v>
          </cell>
          <cell r="D365" t="str">
            <v>Вероника 1996</v>
          </cell>
          <cell r="F365">
            <v>4580</v>
          </cell>
        </row>
        <row r="366">
          <cell r="A366">
            <v>46032</v>
          </cell>
          <cell r="D366" t="str">
            <v>Вероника 1996</v>
          </cell>
          <cell r="F366">
            <v>6360</v>
          </cell>
        </row>
        <row r="367">
          <cell r="A367">
            <v>46032</v>
          </cell>
          <cell r="D367" t="str">
            <v>Оганов А.С.5984</v>
          </cell>
          <cell r="F367">
            <v>3498</v>
          </cell>
        </row>
        <row r="368">
          <cell r="A368">
            <v>46032</v>
          </cell>
          <cell r="D368" t="str">
            <v>Екатерина 2201</v>
          </cell>
          <cell r="F368">
            <v>790</v>
          </cell>
        </row>
        <row r="369">
          <cell r="A369">
            <v>46032</v>
          </cell>
          <cell r="D369" t="str">
            <v>Оганов А.С.2404</v>
          </cell>
          <cell r="F369">
            <v>0</v>
          </cell>
        </row>
        <row r="370">
          <cell r="A370">
            <v>46032</v>
          </cell>
          <cell r="D370" t="str">
            <v>Оганов А.С.2404</v>
          </cell>
          <cell r="F370">
            <v>1070</v>
          </cell>
        </row>
        <row r="371">
          <cell r="A371">
            <v>46032</v>
          </cell>
          <cell r="D371" t="str">
            <v>Оганов А.С.2404</v>
          </cell>
          <cell r="F371">
            <v>5500</v>
          </cell>
        </row>
        <row r="372">
          <cell r="A372">
            <v>46033</v>
          </cell>
          <cell r="D372" t="str">
            <v>Екатерина 2201</v>
          </cell>
          <cell r="F372">
            <v>3000</v>
          </cell>
        </row>
        <row r="373">
          <cell r="A373">
            <v>46033</v>
          </cell>
          <cell r="D373" t="str">
            <v>Оганов А.С.5984</v>
          </cell>
          <cell r="F373">
            <v>2490</v>
          </cell>
        </row>
        <row r="374">
          <cell r="A374">
            <v>46033</v>
          </cell>
          <cell r="D374" t="str">
            <v>Оганов А.С.5984</v>
          </cell>
          <cell r="F374">
            <v>2750</v>
          </cell>
        </row>
        <row r="375">
          <cell r="A375">
            <v>46033</v>
          </cell>
          <cell r="D375" t="str">
            <v>Оганов А.С.5984</v>
          </cell>
          <cell r="F375">
            <v>7500</v>
          </cell>
        </row>
        <row r="376">
          <cell r="A376">
            <v>46033</v>
          </cell>
          <cell r="D376" t="str">
            <v>Оганов А.С.1505</v>
          </cell>
          <cell r="F376">
            <v>3000</v>
          </cell>
        </row>
        <row r="377">
          <cell r="A377">
            <v>46033</v>
          </cell>
          <cell r="D377" t="str">
            <v>Оганов А.С.1505</v>
          </cell>
          <cell r="F377">
            <v>4780</v>
          </cell>
        </row>
        <row r="378">
          <cell r="A378">
            <v>46033</v>
          </cell>
          <cell r="D378" t="str">
            <v>Оганов А.С.1505</v>
          </cell>
          <cell r="F378">
            <v>2980</v>
          </cell>
        </row>
        <row r="379">
          <cell r="A379">
            <v>46033</v>
          </cell>
          <cell r="D379" t="str">
            <v>Екатерина 2201</v>
          </cell>
          <cell r="F379">
            <v>200</v>
          </cell>
        </row>
        <row r="380">
          <cell r="A380">
            <v>46033</v>
          </cell>
          <cell r="D380" t="str">
            <v>Любовь 1302</v>
          </cell>
          <cell r="F380">
            <v>4790</v>
          </cell>
        </row>
        <row r="381">
          <cell r="A381">
            <v>46033</v>
          </cell>
          <cell r="D381" t="str">
            <v>Любовь 1302</v>
          </cell>
          <cell r="F381">
            <v>790</v>
          </cell>
        </row>
        <row r="382">
          <cell r="A382">
            <v>46033</v>
          </cell>
          <cell r="D382" t="str">
            <v>Екатерина 2201</v>
          </cell>
          <cell r="F382">
            <v>4500</v>
          </cell>
        </row>
        <row r="383">
          <cell r="A383">
            <v>46033</v>
          </cell>
          <cell r="D383" t="str">
            <v>Екатерина 2201</v>
          </cell>
          <cell r="F383">
            <v>490</v>
          </cell>
        </row>
        <row r="384">
          <cell r="A384">
            <v>46033</v>
          </cell>
          <cell r="D384" t="str">
            <v>Екатерина 2201</v>
          </cell>
          <cell r="F384">
            <v>4000</v>
          </cell>
        </row>
        <row r="385">
          <cell r="A385">
            <v>46033</v>
          </cell>
          <cell r="D385" t="str">
            <v>Екатерина 2201</v>
          </cell>
          <cell r="F385">
            <v>1500</v>
          </cell>
        </row>
        <row r="386">
          <cell r="A386">
            <v>46033</v>
          </cell>
          <cell r="D386" t="str">
            <v>Екатерина 2201</v>
          </cell>
          <cell r="F386">
            <v>980</v>
          </cell>
        </row>
        <row r="387">
          <cell r="A387">
            <v>46033</v>
          </cell>
          <cell r="D387" t="str">
            <v>Екатерина 2201</v>
          </cell>
          <cell r="F387">
            <v>1790</v>
          </cell>
        </row>
        <row r="388">
          <cell r="A388">
            <v>46033</v>
          </cell>
          <cell r="D388" t="str">
            <v>Екатерина 2201</v>
          </cell>
          <cell r="F388">
            <v>0</v>
          </cell>
        </row>
        <row r="389">
          <cell r="A389">
            <v>46033</v>
          </cell>
          <cell r="D389" t="str">
            <v>Любовь 1302</v>
          </cell>
          <cell r="F389">
            <v>2980</v>
          </cell>
        </row>
        <row r="390">
          <cell r="A390">
            <v>46033</v>
          </cell>
          <cell r="D390" t="str">
            <v>Любовь 1302</v>
          </cell>
          <cell r="F390">
            <v>0</v>
          </cell>
        </row>
        <row r="391">
          <cell r="A391">
            <v>46033</v>
          </cell>
          <cell r="D391" t="str">
            <v>Оганов А.С.3007</v>
          </cell>
          <cell r="F391">
            <v>0</v>
          </cell>
        </row>
        <row r="392">
          <cell r="A392">
            <v>46033</v>
          </cell>
          <cell r="D392" t="str">
            <v>Оганов А.С.3007</v>
          </cell>
          <cell r="F392">
            <v>5000</v>
          </cell>
        </row>
        <row r="393">
          <cell r="A393">
            <v>46033</v>
          </cell>
          <cell r="D393" t="str">
            <v>Оганов А.С.3007</v>
          </cell>
          <cell r="F393">
            <v>2000</v>
          </cell>
        </row>
        <row r="394">
          <cell r="A394">
            <v>46033</v>
          </cell>
          <cell r="D394" t="str">
            <v>Екатерина 2201</v>
          </cell>
          <cell r="F394">
            <v>790</v>
          </cell>
        </row>
        <row r="395">
          <cell r="A395">
            <v>46033</v>
          </cell>
          <cell r="D395" t="str">
            <v>Екатерина 2201</v>
          </cell>
          <cell r="F395">
            <v>1380</v>
          </cell>
        </row>
        <row r="396">
          <cell r="A396">
            <v>46033</v>
          </cell>
          <cell r="D396" t="str">
            <v>Любовь 1302</v>
          </cell>
          <cell r="F396">
            <v>3990</v>
          </cell>
        </row>
        <row r="397">
          <cell r="A397">
            <v>46034</v>
          </cell>
          <cell r="D397" t="str">
            <v>Виктория 2502</v>
          </cell>
          <cell r="F397">
            <v>790</v>
          </cell>
        </row>
        <row r="398">
          <cell r="A398">
            <v>46033</v>
          </cell>
          <cell r="D398" t="str">
            <v>Екатерина 2201</v>
          </cell>
          <cell r="F398">
            <v>2290</v>
          </cell>
        </row>
        <row r="399">
          <cell r="A399">
            <v>46033</v>
          </cell>
          <cell r="D399" t="str">
            <v>Екатерина 2201</v>
          </cell>
          <cell r="F399">
            <v>1500</v>
          </cell>
        </row>
        <row r="400">
          <cell r="A400">
            <v>46033</v>
          </cell>
          <cell r="D400" t="str">
            <v>Екатерина 2201</v>
          </cell>
          <cell r="F400">
            <v>4000</v>
          </cell>
        </row>
        <row r="401">
          <cell r="A401">
            <v>46033</v>
          </cell>
          <cell r="D401" t="str">
            <v>Екатерина 2201</v>
          </cell>
          <cell r="F401">
            <v>490</v>
          </cell>
        </row>
        <row r="402">
          <cell r="A402">
            <v>46033</v>
          </cell>
          <cell r="D402" t="str">
            <v>Екатерина 2201</v>
          </cell>
          <cell r="F402">
            <v>990</v>
          </cell>
        </row>
        <row r="403">
          <cell r="A403">
            <v>46033</v>
          </cell>
          <cell r="D403" t="str">
            <v>Оганов А.С.5984</v>
          </cell>
          <cell r="F403">
            <v>2750</v>
          </cell>
        </row>
        <row r="404">
          <cell r="A404">
            <v>46033</v>
          </cell>
          <cell r="D404" t="str">
            <v>Оганов А.С.7272</v>
          </cell>
          <cell r="F404">
            <v>990</v>
          </cell>
        </row>
        <row r="405">
          <cell r="A405">
            <v>46033</v>
          </cell>
          <cell r="D405" t="str">
            <v>Оганов А.С.7272</v>
          </cell>
          <cell r="F405">
            <v>3498</v>
          </cell>
        </row>
        <row r="406">
          <cell r="A406">
            <v>46033</v>
          </cell>
          <cell r="D406" t="str">
            <v>Оганов А.С.7272</v>
          </cell>
          <cell r="F406">
            <v>1750</v>
          </cell>
        </row>
        <row r="407">
          <cell r="A407">
            <v>46033</v>
          </cell>
          <cell r="D407" t="str">
            <v>Любовь 1302</v>
          </cell>
          <cell r="F407">
            <v>1100</v>
          </cell>
        </row>
        <row r="408">
          <cell r="A408">
            <v>46033</v>
          </cell>
          <cell r="D408" t="str">
            <v>Любовь 1302</v>
          </cell>
          <cell r="F408">
            <v>3000</v>
          </cell>
        </row>
        <row r="409">
          <cell r="A409">
            <v>46033</v>
          </cell>
          <cell r="D409" t="str">
            <v>Любовь 1302</v>
          </cell>
          <cell r="F409">
            <v>1490</v>
          </cell>
        </row>
        <row r="410">
          <cell r="A410">
            <v>46033</v>
          </cell>
          <cell r="D410" t="str">
            <v>Оганов А.С.5984</v>
          </cell>
          <cell r="F410">
            <v>3498</v>
          </cell>
        </row>
        <row r="411">
          <cell r="A411">
            <v>46033</v>
          </cell>
          <cell r="D411" t="str">
            <v>Екатерина 2201</v>
          </cell>
          <cell r="F411">
            <v>3000</v>
          </cell>
        </row>
        <row r="412">
          <cell r="A412">
            <v>46033</v>
          </cell>
          <cell r="D412" t="str">
            <v>Оганов А.С.7272</v>
          </cell>
          <cell r="F412">
            <v>1490</v>
          </cell>
        </row>
        <row r="413">
          <cell r="A413">
            <v>46033</v>
          </cell>
          <cell r="D413" t="str">
            <v>Оганов А.С.7272</v>
          </cell>
          <cell r="F413">
            <v>2090</v>
          </cell>
        </row>
        <row r="414">
          <cell r="A414">
            <v>46033</v>
          </cell>
          <cell r="D414" t="str">
            <v>Оганов А.С.7272</v>
          </cell>
          <cell r="F414">
            <v>690</v>
          </cell>
        </row>
        <row r="415">
          <cell r="A415">
            <v>46033</v>
          </cell>
          <cell r="D415" t="str">
            <v>Оганов А.С.7272</v>
          </cell>
          <cell r="F415">
            <v>290</v>
          </cell>
        </row>
        <row r="416">
          <cell r="A416">
            <v>46033</v>
          </cell>
          <cell r="D416" t="str">
            <v>Оганов А.С.7272</v>
          </cell>
          <cell r="F416">
            <v>2090</v>
          </cell>
        </row>
        <row r="417">
          <cell r="A417">
            <v>46033</v>
          </cell>
          <cell r="D417" t="str">
            <v>Оганов А.С.7272</v>
          </cell>
          <cell r="F417">
            <v>2590</v>
          </cell>
        </row>
        <row r="418">
          <cell r="A418">
            <v>46033</v>
          </cell>
          <cell r="D418" t="str">
            <v>Оганов А.С.7272</v>
          </cell>
          <cell r="F418">
            <v>2390</v>
          </cell>
        </row>
        <row r="419">
          <cell r="A419">
            <v>46033</v>
          </cell>
          <cell r="D419" t="str">
            <v>Оганов А.С.7272</v>
          </cell>
          <cell r="F419">
            <v>4000</v>
          </cell>
        </row>
        <row r="420">
          <cell r="A420">
            <v>46033</v>
          </cell>
          <cell r="D420" t="str">
            <v>Оганов А.С.7272</v>
          </cell>
          <cell r="F420">
            <v>1280</v>
          </cell>
        </row>
        <row r="421">
          <cell r="A421">
            <v>46033</v>
          </cell>
          <cell r="D421" t="str">
            <v>Оганов А.С.7272</v>
          </cell>
          <cell r="F421">
            <v>1290</v>
          </cell>
        </row>
        <row r="422">
          <cell r="A422">
            <v>46033</v>
          </cell>
          <cell r="D422" t="str">
            <v>Оганов А.С.7272</v>
          </cell>
          <cell r="F422">
            <v>1350</v>
          </cell>
        </row>
        <row r="423">
          <cell r="A423">
            <v>46033</v>
          </cell>
          <cell r="D423" t="str">
            <v>Екатерина 2201</v>
          </cell>
          <cell r="F423">
            <v>1290</v>
          </cell>
        </row>
        <row r="424">
          <cell r="A424">
            <v>46033</v>
          </cell>
          <cell r="D424" t="str">
            <v>Екатерина 2201</v>
          </cell>
          <cell r="F424">
            <v>1350</v>
          </cell>
        </row>
        <row r="425">
          <cell r="A425">
            <v>46033</v>
          </cell>
          <cell r="D425" t="str">
            <v>Оганов А.С.1505</v>
          </cell>
          <cell r="F425">
            <v>1380</v>
          </cell>
        </row>
        <row r="426">
          <cell r="A426">
            <v>46033</v>
          </cell>
          <cell r="D426" t="str">
            <v>Екатерина 2201</v>
          </cell>
          <cell r="F426">
            <v>0</v>
          </cell>
        </row>
        <row r="427">
          <cell r="A427">
            <v>46033</v>
          </cell>
          <cell r="D427" t="str">
            <v>Екатерина 2201</v>
          </cell>
          <cell r="F427">
            <v>2590</v>
          </cell>
        </row>
        <row r="428">
          <cell r="A428">
            <v>46033</v>
          </cell>
          <cell r="D428" t="str">
            <v>Екатерина 2201</v>
          </cell>
          <cell r="F428">
            <v>2390</v>
          </cell>
        </row>
        <row r="429">
          <cell r="A429">
            <v>46033</v>
          </cell>
          <cell r="D429" t="str">
            <v>Екатерина 2201</v>
          </cell>
          <cell r="F429">
            <v>4500</v>
          </cell>
        </row>
        <row r="430">
          <cell r="A430">
            <v>46033</v>
          </cell>
          <cell r="D430" t="str">
            <v>Екатерина 2201</v>
          </cell>
          <cell r="F430">
            <v>1050</v>
          </cell>
        </row>
        <row r="431">
          <cell r="A431">
            <v>46033</v>
          </cell>
          <cell r="D431" t="str">
            <v>Оганов А.С.7272</v>
          </cell>
          <cell r="F431">
            <v>5000</v>
          </cell>
        </row>
        <row r="432">
          <cell r="A432">
            <v>46033</v>
          </cell>
          <cell r="D432" t="str">
            <v>Оганов А.С.7272</v>
          </cell>
          <cell r="F432">
            <v>1380</v>
          </cell>
        </row>
        <row r="433">
          <cell r="A433">
            <v>46033</v>
          </cell>
          <cell r="D433" t="str">
            <v>Оганов А.С.7272</v>
          </cell>
          <cell r="F433">
            <v>5000</v>
          </cell>
        </row>
        <row r="434">
          <cell r="A434">
            <v>46033</v>
          </cell>
          <cell r="D434" t="str">
            <v>Оганов А.С.7272</v>
          </cell>
          <cell r="F434">
            <v>1390</v>
          </cell>
        </row>
        <row r="435">
          <cell r="A435">
            <v>46033</v>
          </cell>
          <cell r="D435" t="str">
            <v>Оганов А.С.3007</v>
          </cell>
          <cell r="F435">
            <v>1050</v>
          </cell>
        </row>
        <row r="436">
          <cell r="A436">
            <v>46033</v>
          </cell>
          <cell r="D436" t="str">
            <v>Оганов А.С.3007</v>
          </cell>
          <cell r="F436">
            <v>3000</v>
          </cell>
        </row>
        <row r="437">
          <cell r="A437">
            <v>46033</v>
          </cell>
          <cell r="D437" t="str">
            <v>Екатерина 2201</v>
          </cell>
          <cell r="F437">
            <v>490</v>
          </cell>
        </row>
        <row r="438">
          <cell r="A438">
            <v>46033</v>
          </cell>
          <cell r="D438" t="str">
            <v>Екатерина 2201</v>
          </cell>
          <cell r="F438">
            <v>645</v>
          </cell>
        </row>
        <row r="439">
          <cell r="A439">
            <v>46033</v>
          </cell>
          <cell r="D439" t="str">
            <v>Екатерина 2201</v>
          </cell>
          <cell r="F439">
            <v>1500</v>
          </cell>
        </row>
        <row r="440">
          <cell r="A440">
            <v>46033</v>
          </cell>
          <cell r="D440" t="str">
            <v>Оганов А.С.3007</v>
          </cell>
          <cell r="F440">
            <v>1280</v>
          </cell>
        </row>
        <row r="441">
          <cell r="A441">
            <v>46033</v>
          </cell>
          <cell r="D441" t="str">
            <v>Оганов А.С.7272</v>
          </cell>
          <cell r="F441">
            <v>1490</v>
          </cell>
        </row>
        <row r="442">
          <cell r="A442">
            <v>46033</v>
          </cell>
          <cell r="D442" t="str">
            <v>Екатерина 2201</v>
          </cell>
          <cell r="F442">
            <v>980</v>
          </cell>
        </row>
        <row r="443">
          <cell r="A443">
            <v>46033</v>
          </cell>
          <cell r="D443" t="str">
            <v>Екатерина 2201</v>
          </cell>
          <cell r="F443">
            <v>1350</v>
          </cell>
        </row>
        <row r="444">
          <cell r="A444">
            <v>46034</v>
          </cell>
          <cell r="D444" t="str">
            <v>Оганов А.С.3007</v>
          </cell>
          <cell r="F444">
            <v>2860</v>
          </cell>
        </row>
        <row r="445">
          <cell r="A445">
            <v>46034</v>
          </cell>
          <cell r="D445" t="str">
            <v>Оганов А.С.3007</v>
          </cell>
          <cell r="F445">
            <v>2590</v>
          </cell>
        </row>
        <row r="446">
          <cell r="A446">
            <v>46034</v>
          </cell>
          <cell r="D446" t="str">
            <v>Оганов А.С.3007</v>
          </cell>
          <cell r="F446">
            <v>7000</v>
          </cell>
        </row>
        <row r="447">
          <cell r="A447">
            <v>46034</v>
          </cell>
          <cell r="D447" t="str">
            <v>Виктория 2502</v>
          </cell>
          <cell r="F447">
            <v>590</v>
          </cell>
        </row>
        <row r="448">
          <cell r="A448">
            <v>46034</v>
          </cell>
          <cell r="D448" t="str">
            <v>Оганов А.С.3007</v>
          </cell>
          <cell r="F448">
            <v>0</v>
          </cell>
        </row>
        <row r="449">
          <cell r="A449">
            <v>46034</v>
          </cell>
          <cell r="D449" t="str">
            <v>Виктория 2502</v>
          </cell>
          <cell r="F449">
            <v>1390</v>
          </cell>
        </row>
        <row r="450">
          <cell r="A450">
            <v>46034</v>
          </cell>
          <cell r="D450" t="str">
            <v>Виктория 2502</v>
          </cell>
          <cell r="F450">
            <v>0</v>
          </cell>
        </row>
        <row r="451">
          <cell r="A451">
            <v>46034</v>
          </cell>
          <cell r="D451" t="str">
            <v>Виктория 2502</v>
          </cell>
          <cell r="F451">
            <v>4000</v>
          </cell>
        </row>
        <row r="452">
          <cell r="A452">
            <v>46034</v>
          </cell>
          <cell r="D452" t="str">
            <v>Виктория 2502</v>
          </cell>
          <cell r="F452">
            <v>490</v>
          </cell>
        </row>
        <row r="453">
          <cell r="A453">
            <v>46034</v>
          </cell>
          <cell r="D453" t="str">
            <v>Виктория 2502</v>
          </cell>
          <cell r="F453">
            <v>0</v>
          </cell>
        </row>
        <row r="454">
          <cell r="A454">
            <v>46034</v>
          </cell>
          <cell r="D454" t="str">
            <v>Виктория 2502</v>
          </cell>
          <cell r="F454">
            <v>1490</v>
          </cell>
        </row>
        <row r="455">
          <cell r="A455">
            <v>46034</v>
          </cell>
          <cell r="D455" t="str">
            <v>Оганов А.С.1505</v>
          </cell>
          <cell r="F455">
            <v>3000</v>
          </cell>
        </row>
        <row r="456">
          <cell r="A456">
            <v>46034</v>
          </cell>
          <cell r="D456" t="str">
            <v>Оганов А.С.1505</v>
          </cell>
          <cell r="F456">
            <v>5500</v>
          </cell>
        </row>
        <row r="457">
          <cell r="A457">
            <v>46034</v>
          </cell>
          <cell r="D457" t="str">
            <v>Оганов А.С.1505</v>
          </cell>
          <cell r="F457">
            <v>0</v>
          </cell>
        </row>
        <row r="458">
          <cell r="A458">
            <v>46034</v>
          </cell>
          <cell r="D458" t="str">
            <v>Оганов А.С.1505</v>
          </cell>
          <cell r="F458">
            <v>1500</v>
          </cell>
        </row>
        <row r="459">
          <cell r="A459">
            <v>46034</v>
          </cell>
          <cell r="D459" t="str">
            <v>Оганов А.С.7272</v>
          </cell>
          <cell r="F459">
            <v>1295</v>
          </cell>
        </row>
        <row r="460">
          <cell r="A460">
            <v>46034</v>
          </cell>
          <cell r="D460" t="str">
            <v>Оганов А. С. 2106</v>
          </cell>
          <cell r="F460">
            <v>7000</v>
          </cell>
        </row>
        <row r="461">
          <cell r="A461">
            <v>46034</v>
          </cell>
          <cell r="D461" t="str">
            <v>Оганов А. С. 2106</v>
          </cell>
          <cell r="F461">
            <v>2490</v>
          </cell>
        </row>
        <row r="462">
          <cell r="A462">
            <v>46034</v>
          </cell>
          <cell r="D462" t="str">
            <v>Оганов А. С. 2106</v>
          </cell>
          <cell r="F462">
            <v>1350</v>
          </cell>
        </row>
        <row r="463">
          <cell r="A463">
            <v>46034</v>
          </cell>
          <cell r="D463" t="str">
            <v>Оганов А. С. 2106</v>
          </cell>
          <cell r="F463">
            <v>3500</v>
          </cell>
        </row>
        <row r="464">
          <cell r="A464">
            <v>46034</v>
          </cell>
          <cell r="D464" t="str">
            <v>Оганов А. С. 2106</v>
          </cell>
          <cell r="F464">
            <v>1920</v>
          </cell>
        </row>
        <row r="465">
          <cell r="A465">
            <v>46034</v>
          </cell>
          <cell r="D465" t="str">
            <v>Оганов А.С.7272</v>
          </cell>
          <cell r="F465">
            <v>1690</v>
          </cell>
        </row>
        <row r="466">
          <cell r="A466">
            <v>46034</v>
          </cell>
          <cell r="D466" t="str">
            <v>Оганов А.С.3007</v>
          </cell>
          <cell r="F466">
            <v>3000</v>
          </cell>
        </row>
        <row r="467">
          <cell r="A467">
            <v>46034</v>
          </cell>
          <cell r="D467" t="str">
            <v>Оганов А.С.1505</v>
          </cell>
          <cell r="F467">
            <v>1100</v>
          </cell>
        </row>
        <row r="468">
          <cell r="A468">
            <v>46034</v>
          </cell>
          <cell r="D468" t="str">
            <v>Оганов А.С.1505</v>
          </cell>
          <cell r="F468">
            <v>2690</v>
          </cell>
        </row>
        <row r="469">
          <cell r="A469">
            <v>46034</v>
          </cell>
          <cell r="D469" t="str">
            <v>Оганов А.С.3007</v>
          </cell>
          <cell r="F469">
            <v>1470</v>
          </cell>
        </row>
        <row r="470">
          <cell r="A470">
            <v>46034</v>
          </cell>
          <cell r="D470" t="str">
            <v>Виктория 2502</v>
          </cell>
          <cell r="F470">
            <v>3498</v>
          </cell>
        </row>
        <row r="471">
          <cell r="A471">
            <v>46034</v>
          </cell>
          <cell r="D471" t="str">
            <v>Виктория 2502</v>
          </cell>
          <cell r="F471">
            <v>3580</v>
          </cell>
        </row>
        <row r="472">
          <cell r="A472">
            <v>46034</v>
          </cell>
          <cell r="D472" t="str">
            <v>Виктория 2502</v>
          </cell>
          <cell r="F472">
            <v>7500</v>
          </cell>
        </row>
        <row r="473">
          <cell r="A473">
            <v>46034</v>
          </cell>
          <cell r="D473" t="str">
            <v>Виктория 2502</v>
          </cell>
          <cell r="F473">
            <v>690</v>
          </cell>
        </row>
        <row r="474">
          <cell r="A474">
            <v>46034</v>
          </cell>
          <cell r="D474" t="str">
            <v>Виктория 2502</v>
          </cell>
          <cell r="F474">
            <v>0</v>
          </cell>
        </row>
        <row r="475">
          <cell r="A475">
            <v>46034</v>
          </cell>
          <cell r="D475" t="str">
            <v>Оганов А.С.7272</v>
          </cell>
          <cell r="F475">
            <v>1500</v>
          </cell>
        </row>
        <row r="476">
          <cell r="A476">
            <v>46034</v>
          </cell>
          <cell r="D476" t="str">
            <v>Оганов А.С.7272</v>
          </cell>
          <cell r="F476">
            <v>950</v>
          </cell>
        </row>
        <row r="477">
          <cell r="A477">
            <v>46034</v>
          </cell>
          <cell r="D477" t="str">
            <v>Оганов А.С.7272</v>
          </cell>
          <cell r="F477">
            <v>1290</v>
          </cell>
        </row>
        <row r="478">
          <cell r="A478">
            <v>46034</v>
          </cell>
          <cell r="D478" t="str">
            <v>Оганов А.С.7272</v>
          </cell>
          <cell r="F478">
            <v>0</v>
          </cell>
        </row>
        <row r="479">
          <cell r="A479">
            <v>46034</v>
          </cell>
          <cell r="D479" t="str">
            <v>Оганов А.С.7272</v>
          </cell>
          <cell r="F479">
            <v>1390</v>
          </cell>
        </row>
        <row r="480">
          <cell r="A480">
            <v>46034</v>
          </cell>
          <cell r="D480" t="str">
            <v>Оганов А.С.7272</v>
          </cell>
          <cell r="F480">
            <v>1390</v>
          </cell>
        </row>
        <row r="481">
          <cell r="A481">
            <v>46034</v>
          </cell>
          <cell r="D481" t="str">
            <v>Оганов А.С.1505</v>
          </cell>
          <cell r="F481">
            <v>2490</v>
          </cell>
        </row>
        <row r="482">
          <cell r="A482">
            <v>46034</v>
          </cell>
          <cell r="D482" t="str">
            <v>Оганов А.С.1505</v>
          </cell>
          <cell r="F482">
            <v>1100</v>
          </cell>
        </row>
        <row r="483">
          <cell r="A483">
            <v>46034</v>
          </cell>
          <cell r="D483" t="str">
            <v>Оганов А.С.1505</v>
          </cell>
          <cell r="F483">
            <v>2250</v>
          </cell>
        </row>
        <row r="484">
          <cell r="A484">
            <v>46034</v>
          </cell>
          <cell r="D484" t="str">
            <v>Оганов А.С.1505</v>
          </cell>
          <cell r="F484">
            <v>780</v>
          </cell>
        </row>
        <row r="485">
          <cell r="A485">
            <v>46037</v>
          </cell>
          <cell r="D485" t="str">
            <v>Оганов А.С.5984</v>
          </cell>
          <cell r="F485">
            <v>3500</v>
          </cell>
        </row>
        <row r="486">
          <cell r="A486">
            <v>46034</v>
          </cell>
          <cell r="D486" t="str">
            <v>Оганов А. С. 2106</v>
          </cell>
          <cell r="F486">
            <v>690</v>
          </cell>
        </row>
        <row r="487">
          <cell r="A487">
            <v>46035</v>
          </cell>
          <cell r="D487" t="str">
            <v>Вероника 1996</v>
          </cell>
          <cell r="F487">
            <v>3000</v>
          </cell>
        </row>
        <row r="488">
          <cell r="A488">
            <v>46035</v>
          </cell>
          <cell r="D488" t="str">
            <v>Оганов А.С.3007</v>
          </cell>
          <cell r="F488">
            <v>1050</v>
          </cell>
        </row>
        <row r="489">
          <cell r="A489">
            <v>46035</v>
          </cell>
          <cell r="D489" t="str">
            <v>Оганов А.С.3007</v>
          </cell>
          <cell r="F489">
            <v>2290</v>
          </cell>
        </row>
        <row r="490">
          <cell r="A490">
            <v>46035</v>
          </cell>
          <cell r="D490" t="str">
            <v>Виктория 2502</v>
          </cell>
          <cell r="F490">
            <v>2490</v>
          </cell>
        </row>
        <row r="491">
          <cell r="A491">
            <v>46035</v>
          </cell>
          <cell r="D491" t="str">
            <v>Виктория 2502</v>
          </cell>
          <cell r="F491">
            <v>1350</v>
          </cell>
        </row>
        <row r="492">
          <cell r="A492">
            <v>46037</v>
          </cell>
          <cell r="D492" t="str">
            <v>Любовь 1302</v>
          </cell>
          <cell r="F492">
            <v>890</v>
          </cell>
        </row>
        <row r="493">
          <cell r="A493">
            <v>46037</v>
          </cell>
          <cell r="D493" t="str">
            <v>Любовь 1302</v>
          </cell>
          <cell r="F493">
            <v>1750</v>
          </cell>
        </row>
        <row r="494">
          <cell r="A494">
            <v>46037</v>
          </cell>
          <cell r="D494" t="str">
            <v>Любовь 1302</v>
          </cell>
          <cell r="F494">
            <v>2590</v>
          </cell>
        </row>
        <row r="495">
          <cell r="A495">
            <v>46035</v>
          </cell>
          <cell r="D495" t="str">
            <v>Виктория 2502</v>
          </cell>
          <cell r="F495">
            <v>1790</v>
          </cell>
        </row>
        <row r="496">
          <cell r="A496">
            <v>46035</v>
          </cell>
          <cell r="D496" t="str">
            <v>Виктория 2502</v>
          </cell>
          <cell r="F496">
            <v>2390</v>
          </cell>
        </row>
        <row r="497">
          <cell r="A497">
            <v>46035</v>
          </cell>
          <cell r="D497" t="str">
            <v>Оганов А.С.1505</v>
          </cell>
          <cell r="F497">
            <v>1500</v>
          </cell>
        </row>
        <row r="498">
          <cell r="A498">
            <v>46035</v>
          </cell>
          <cell r="D498" t="str">
            <v>Оганов А.С.1505</v>
          </cell>
          <cell r="F498">
            <v>6000</v>
          </cell>
        </row>
        <row r="499">
          <cell r="A499">
            <v>46035</v>
          </cell>
          <cell r="D499" t="str">
            <v>Оганов А.С.1505</v>
          </cell>
          <cell r="F499">
            <v>4500</v>
          </cell>
        </row>
        <row r="500">
          <cell r="A500">
            <v>46035</v>
          </cell>
          <cell r="D500" t="str">
            <v>Оганов А.С.1505</v>
          </cell>
          <cell r="F500">
            <v>6000</v>
          </cell>
        </row>
        <row r="501">
          <cell r="A501">
            <v>46035</v>
          </cell>
          <cell r="D501" t="str">
            <v>Оганов А.С.1505</v>
          </cell>
          <cell r="F501">
            <v>1000</v>
          </cell>
        </row>
        <row r="502">
          <cell r="A502">
            <v>46035</v>
          </cell>
          <cell r="D502" t="str">
            <v>Оганов А.С.1505</v>
          </cell>
          <cell r="F502">
            <v>3000</v>
          </cell>
        </row>
        <row r="503">
          <cell r="A503">
            <v>46035</v>
          </cell>
          <cell r="D503" t="str">
            <v>Оганов А.С.3007</v>
          </cell>
          <cell r="F503">
            <v>790</v>
          </cell>
        </row>
        <row r="504">
          <cell r="A504">
            <v>46035</v>
          </cell>
          <cell r="D504" t="str">
            <v>Оганов А.С.3007</v>
          </cell>
          <cell r="F504">
            <v>395</v>
          </cell>
        </row>
        <row r="505">
          <cell r="A505">
            <v>46035</v>
          </cell>
          <cell r="D505" t="str">
            <v>Оганов А.С.3007</v>
          </cell>
          <cell r="F505">
            <v>490</v>
          </cell>
        </row>
        <row r="506">
          <cell r="A506">
            <v>46035</v>
          </cell>
          <cell r="D506" t="str">
            <v>Оганов А.С.1505</v>
          </cell>
          <cell r="F506">
            <v>800</v>
          </cell>
        </row>
        <row r="507">
          <cell r="A507">
            <v>46035</v>
          </cell>
          <cell r="D507" t="str">
            <v>Вероника 1996</v>
          </cell>
          <cell r="F507">
            <v>3590</v>
          </cell>
        </row>
        <row r="508">
          <cell r="A508">
            <v>46035</v>
          </cell>
          <cell r="D508" t="str">
            <v>Вероника 1996</v>
          </cell>
          <cell r="F508">
            <v>5000</v>
          </cell>
        </row>
        <row r="509">
          <cell r="A509">
            <v>46035</v>
          </cell>
          <cell r="D509" t="str">
            <v>Вероника 1996</v>
          </cell>
          <cell r="F509">
            <v>1500</v>
          </cell>
        </row>
        <row r="510">
          <cell r="A510">
            <v>46037</v>
          </cell>
          <cell r="D510" t="str">
            <v>Любовь 1302</v>
          </cell>
          <cell r="F510">
            <v>4640</v>
          </cell>
        </row>
        <row r="511">
          <cell r="A511">
            <v>46035</v>
          </cell>
          <cell r="D511" t="str">
            <v>Вероника 1996</v>
          </cell>
          <cell r="F511">
            <v>1300</v>
          </cell>
        </row>
        <row r="512">
          <cell r="A512">
            <v>46035</v>
          </cell>
          <cell r="D512" t="str">
            <v>Оганов А. С. 2106</v>
          </cell>
          <cell r="F512">
            <v>790</v>
          </cell>
        </row>
        <row r="513">
          <cell r="A513">
            <v>46035</v>
          </cell>
          <cell r="D513" t="str">
            <v>Вероника 1996</v>
          </cell>
          <cell r="F513">
            <v>2860</v>
          </cell>
        </row>
        <row r="514">
          <cell r="A514">
            <v>46035</v>
          </cell>
          <cell r="D514" t="str">
            <v>Оганов А. С. 2106</v>
          </cell>
          <cell r="F514">
            <v>3780</v>
          </cell>
        </row>
        <row r="515">
          <cell r="A515">
            <v>46035</v>
          </cell>
          <cell r="D515" t="str">
            <v>Оганов А. С. 2106</v>
          </cell>
          <cell r="F515">
            <v>1380</v>
          </cell>
        </row>
        <row r="516">
          <cell r="A516">
            <v>46035</v>
          </cell>
          <cell r="D516" t="str">
            <v>Оганов А. С. 2106</v>
          </cell>
          <cell r="F516">
            <v>2090</v>
          </cell>
        </row>
        <row r="517">
          <cell r="A517">
            <v>46035</v>
          </cell>
          <cell r="D517" t="str">
            <v>Виктория 2502</v>
          </cell>
          <cell r="F517">
            <v>1690</v>
          </cell>
        </row>
        <row r="518">
          <cell r="A518">
            <v>46035</v>
          </cell>
          <cell r="D518" t="str">
            <v>Вероника 1996</v>
          </cell>
          <cell r="F518">
            <v>2860</v>
          </cell>
        </row>
        <row r="519">
          <cell r="A519">
            <v>46035</v>
          </cell>
          <cell r="D519" t="str">
            <v>Вероника 1996</v>
          </cell>
          <cell r="F519">
            <v>1000</v>
          </cell>
        </row>
        <row r="520">
          <cell r="A520">
            <v>46035</v>
          </cell>
          <cell r="D520" t="str">
            <v>Оганов А.С.0102</v>
          </cell>
          <cell r="F520">
            <v>6000</v>
          </cell>
        </row>
        <row r="521">
          <cell r="A521">
            <v>46035</v>
          </cell>
          <cell r="D521" t="str">
            <v>Виктория 2502</v>
          </cell>
          <cell r="F521">
            <v>1050</v>
          </cell>
        </row>
        <row r="522">
          <cell r="A522">
            <v>46035</v>
          </cell>
          <cell r="D522" t="str">
            <v>Виктория 2502</v>
          </cell>
          <cell r="F522">
            <v>1380</v>
          </cell>
        </row>
        <row r="523">
          <cell r="A523">
            <v>46035</v>
          </cell>
          <cell r="D523" t="str">
            <v>Виктория 2502</v>
          </cell>
          <cell r="F523">
            <v>4500</v>
          </cell>
        </row>
        <row r="524">
          <cell r="A524">
            <v>46035</v>
          </cell>
          <cell r="D524" t="str">
            <v>Виктория 2502</v>
          </cell>
          <cell r="F524">
            <v>780</v>
          </cell>
        </row>
        <row r="525">
          <cell r="A525">
            <v>46035</v>
          </cell>
          <cell r="D525" t="str">
            <v>Вероника 1996</v>
          </cell>
          <cell r="F525">
            <v>3000</v>
          </cell>
        </row>
        <row r="526">
          <cell r="A526">
            <v>46035</v>
          </cell>
          <cell r="D526" t="str">
            <v>Вероника 1996</v>
          </cell>
          <cell r="F526">
            <v>1000</v>
          </cell>
        </row>
        <row r="527">
          <cell r="A527">
            <v>46035</v>
          </cell>
          <cell r="D527" t="str">
            <v>Оганов А. С. 2106</v>
          </cell>
          <cell r="F527">
            <v>2990</v>
          </cell>
        </row>
        <row r="528">
          <cell r="A528">
            <v>46035</v>
          </cell>
          <cell r="D528" t="str">
            <v>Вероника 1996</v>
          </cell>
          <cell r="F528">
            <v>5000</v>
          </cell>
        </row>
        <row r="529">
          <cell r="A529">
            <v>46036</v>
          </cell>
          <cell r="D529" t="str">
            <v>Екатерина 2201</v>
          </cell>
          <cell r="F529">
            <v>1390</v>
          </cell>
        </row>
        <row r="530">
          <cell r="A530">
            <v>46036</v>
          </cell>
          <cell r="D530" t="str">
            <v>Екатерина 2201</v>
          </cell>
          <cell r="F530">
            <v>1390</v>
          </cell>
        </row>
        <row r="531">
          <cell r="A531">
            <v>46036</v>
          </cell>
          <cell r="D531" t="str">
            <v>Вероника 1996</v>
          </cell>
          <cell r="F531">
            <v>0</v>
          </cell>
        </row>
        <row r="532">
          <cell r="A532">
            <v>46036</v>
          </cell>
          <cell r="D532" t="str">
            <v>Вероника 1996</v>
          </cell>
          <cell r="F532">
            <v>4500</v>
          </cell>
        </row>
        <row r="533">
          <cell r="A533">
            <v>46036</v>
          </cell>
          <cell r="D533" t="str">
            <v>Екатерина 2201</v>
          </cell>
          <cell r="F533">
            <v>3000</v>
          </cell>
        </row>
        <row r="534">
          <cell r="A534">
            <v>46036</v>
          </cell>
          <cell r="D534" t="str">
            <v>Екатерина 2201</v>
          </cell>
          <cell r="F534">
            <v>1000</v>
          </cell>
        </row>
        <row r="535">
          <cell r="A535">
            <v>46036</v>
          </cell>
          <cell r="D535" t="str">
            <v>Екатерина 2201</v>
          </cell>
          <cell r="F535">
            <v>290</v>
          </cell>
        </row>
        <row r="536">
          <cell r="A536">
            <v>46036</v>
          </cell>
          <cell r="D536" t="str">
            <v>Екатерина 2201</v>
          </cell>
          <cell r="F536">
            <v>1500</v>
          </cell>
        </row>
        <row r="537">
          <cell r="A537">
            <v>46036</v>
          </cell>
          <cell r="D537" t="str">
            <v>Екатерина 2201</v>
          </cell>
          <cell r="F537">
            <v>290</v>
          </cell>
        </row>
        <row r="538">
          <cell r="A538">
            <v>46036</v>
          </cell>
          <cell r="D538" t="str">
            <v>Екатерина 2201</v>
          </cell>
          <cell r="F538">
            <v>1050</v>
          </cell>
        </row>
        <row r="539">
          <cell r="A539">
            <v>46036</v>
          </cell>
          <cell r="D539" t="str">
            <v>Вероника 1996</v>
          </cell>
          <cell r="F539">
            <v>2000</v>
          </cell>
        </row>
        <row r="540">
          <cell r="A540">
            <v>46036</v>
          </cell>
          <cell r="D540" t="str">
            <v>Вероника 1996</v>
          </cell>
          <cell r="F540">
            <v>1000</v>
          </cell>
        </row>
        <row r="541">
          <cell r="A541">
            <v>46036</v>
          </cell>
          <cell r="D541" t="str">
            <v>Вероника 1996</v>
          </cell>
          <cell r="F541">
            <v>0</v>
          </cell>
        </row>
        <row r="542">
          <cell r="A542">
            <v>46036</v>
          </cell>
          <cell r="D542" t="str">
            <v>Вероника 1996</v>
          </cell>
          <cell r="F542">
            <v>2000</v>
          </cell>
        </row>
        <row r="543">
          <cell r="A543">
            <v>46036</v>
          </cell>
          <cell r="D543" t="str">
            <v>Вероника 1996</v>
          </cell>
          <cell r="F543">
            <v>1000</v>
          </cell>
        </row>
        <row r="544">
          <cell r="A544">
            <v>46036</v>
          </cell>
          <cell r="D544" t="str">
            <v>Вероника 1996</v>
          </cell>
          <cell r="F544">
            <v>2860</v>
          </cell>
        </row>
        <row r="545">
          <cell r="A545">
            <v>46036</v>
          </cell>
          <cell r="D545" t="str">
            <v>Вероника 1996</v>
          </cell>
          <cell r="F545">
            <v>2000</v>
          </cell>
        </row>
        <row r="546">
          <cell r="A546">
            <v>46036</v>
          </cell>
          <cell r="D546" t="str">
            <v>Вероника 1996</v>
          </cell>
          <cell r="F546">
            <v>1300</v>
          </cell>
        </row>
        <row r="547">
          <cell r="A547">
            <v>46036</v>
          </cell>
          <cell r="D547" t="str">
            <v>Екатерина 2201</v>
          </cell>
          <cell r="F547">
            <v>695</v>
          </cell>
        </row>
        <row r="548">
          <cell r="A548">
            <v>46036</v>
          </cell>
          <cell r="D548" t="str">
            <v>Вероника 1996</v>
          </cell>
          <cell r="F548">
            <v>300</v>
          </cell>
        </row>
        <row r="549">
          <cell r="A549">
            <v>46036</v>
          </cell>
          <cell r="D549" t="str">
            <v>Екатерина 2201</v>
          </cell>
          <cell r="F549">
            <v>4000</v>
          </cell>
        </row>
        <row r="550">
          <cell r="A550">
            <v>46036</v>
          </cell>
          <cell r="D550" t="str">
            <v>Любовь 1302</v>
          </cell>
          <cell r="F550">
            <v>790</v>
          </cell>
        </row>
        <row r="551">
          <cell r="A551">
            <v>46036</v>
          </cell>
          <cell r="D551" t="str">
            <v>Любовь 1302</v>
          </cell>
          <cell r="F551">
            <v>2980</v>
          </cell>
        </row>
        <row r="552">
          <cell r="A552">
            <v>46036</v>
          </cell>
          <cell r="D552" t="str">
            <v>Вероника 1996</v>
          </cell>
          <cell r="F552">
            <v>1500</v>
          </cell>
        </row>
        <row r="553">
          <cell r="A553">
            <v>46036</v>
          </cell>
          <cell r="D553" t="str">
            <v>Вероника 1996</v>
          </cell>
          <cell r="F553">
            <v>4490</v>
          </cell>
        </row>
        <row r="554">
          <cell r="A554">
            <v>46036</v>
          </cell>
          <cell r="D554" t="str">
            <v>Оганов А.С.2404</v>
          </cell>
          <cell r="F554">
            <v>2290</v>
          </cell>
        </row>
        <row r="555">
          <cell r="A555">
            <v>46036</v>
          </cell>
          <cell r="D555" t="str">
            <v>Вероника 1996</v>
          </cell>
          <cell r="F555">
            <v>1790</v>
          </cell>
        </row>
        <row r="556">
          <cell r="A556">
            <v>46036</v>
          </cell>
          <cell r="D556" t="str">
            <v>Вероника 1996</v>
          </cell>
          <cell r="F556">
            <v>700</v>
          </cell>
        </row>
        <row r="557">
          <cell r="A557">
            <v>46036</v>
          </cell>
          <cell r="D557" t="str">
            <v>Оганов А.С.5984</v>
          </cell>
          <cell r="F557">
            <v>1350</v>
          </cell>
        </row>
        <row r="558">
          <cell r="A558">
            <v>46036</v>
          </cell>
          <cell r="D558" t="str">
            <v>Екатерина 2201</v>
          </cell>
          <cell r="F558">
            <v>2590</v>
          </cell>
        </row>
        <row r="559">
          <cell r="A559">
            <v>46036</v>
          </cell>
          <cell r="D559" t="str">
            <v>Оганов А.С.2404</v>
          </cell>
          <cell r="F559">
            <v>6500</v>
          </cell>
        </row>
        <row r="560">
          <cell r="A560">
            <v>46036</v>
          </cell>
          <cell r="D560" t="str">
            <v>Оганов А.С.2404</v>
          </cell>
          <cell r="F560">
            <v>6500</v>
          </cell>
        </row>
        <row r="561">
          <cell r="A561">
            <v>46036</v>
          </cell>
          <cell r="D561" t="str">
            <v>Оганов А.С.0102</v>
          </cell>
          <cell r="F561">
            <v>6000</v>
          </cell>
        </row>
        <row r="562">
          <cell r="A562">
            <v>46036</v>
          </cell>
          <cell r="D562" t="str">
            <v>Оганов А.С.0102</v>
          </cell>
          <cell r="F562">
            <v>1290</v>
          </cell>
        </row>
        <row r="563">
          <cell r="A563">
            <v>46036</v>
          </cell>
          <cell r="D563" t="str">
            <v>Оганов А.С.0102</v>
          </cell>
          <cell r="F563">
            <v>2980</v>
          </cell>
        </row>
        <row r="564">
          <cell r="A564">
            <v>46036</v>
          </cell>
          <cell r="D564" t="str">
            <v>Оганов А.С.0102</v>
          </cell>
          <cell r="F564">
            <v>0</v>
          </cell>
        </row>
        <row r="565">
          <cell r="A565">
            <v>46036</v>
          </cell>
          <cell r="D565" t="str">
            <v>Вероника 1996</v>
          </cell>
          <cell r="F565">
            <v>7000</v>
          </cell>
        </row>
        <row r="566">
          <cell r="A566">
            <v>46036</v>
          </cell>
          <cell r="D566" t="str">
            <v>Екатерина 2201</v>
          </cell>
          <cell r="F566">
            <v>200</v>
          </cell>
        </row>
        <row r="567">
          <cell r="A567">
            <v>46036</v>
          </cell>
          <cell r="D567" t="str">
            <v>Оганов А.С.5984</v>
          </cell>
          <cell r="F567">
            <v>7000</v>
          </cell>
        </row>
        <row r="568">
          <cell r="A568">
            <v>46036</v>
          </cell>
          <cell r="D568" t="str">
            <v>Оганов А.С.5984</v>
          </cell>
          <cell r="F568">
            <v>5500</v>
          </cell>
        </row>
        <row r="569">
          <cell r="A569">
            <v>46036</v>
          </cell>
          <cell r="D569" t="str">
            <v>Оганов А.С.5984</v>
          </cell>
          <cell r="F569">
            <v>5000</v>
          </cell>
        </row>
        <row r="570">
          <cell r="A570">
            <v>46036</v>
          </cell>
          <cell r="D570" t="str">
            <v>Оганов А.С.5984</v>
          </cell>
          <cell r="F570">
            <v>1500</v>
          </cell>
        </row>
        <row r="571">
          <cell r="A571">
            <v>46037</v>
          </cell>
          <cell r="D571" t="str">
            <v>Оганов А.С.3007</v>
          </cell>
          <cell r="F571">
            <v>7000</v>
          </cell>
        </row>
        <row r="572">
          <cell r="A572">
            <v>46037</v>
          </cell>
          <cell r="D572" t="str">
            <v>Екатерина 2201</v>
          </cell>
          <cell r="F572">
            <v>1300</v>
          </cell>
        </row>
        <row r="573">
          <cell r="A573">
            <v>46037</v>
          </cell>
          <cell r="D573" t="str">
            <v>Оганов А.С.7272</v>
          </cell>
          <cell r="F573">
            <v>2290</v>
          </cell>
        </row>
        <row r="574">
          <cell r="A574">
            <v>46037</v>
          </cell>
          <cell r="D574" t="str">
            <v>Екатерина 2201</v>
          </cell>
          <cell r="F574">
            <v>4500</v>
          </cell>
        </row>
        <row r="575">
          <cell r="A575">
            <v>46037</v>
          </cell>
          <cell r="D575" t="str">
            <v>Екатерина 2201</v>
          </cell>
          <cell r="F575">
            <v>5000</v>
          </cell>
        </row>
        <row r="576">
          <cell r="A576">
            <v>46037</v>
          </cell>
          <cell r="D576" t="str">
            <v>Оганов А.С.7755</v>
          </cell>
          <cell r="F576">
            <v>0</v>
          </cell>
        </row>
        <row r="577">
          <cell r="A577">
            <v>46037</v>
          </cell>
          <cell r="D577" t="str">
            <v>Оганов А.С.5984</v>
          </cell>
          <cell r="F577">
            <v>5370</v>
          </cell>
        </row>
        <row r="578">
          <cell r="A578">
            <v>46037</v>
          </cell>
          <cell r="D578" t="str">
            <v>Екатерина 2201</v>
          </cell>
          <cell r="F578">
            <v>1350</v>
          </cell>
        </row>
        <row r="579">
          <cell r="A579">
            <v>46037</v>
          </cell>
          <cell r="D579" t="str">
            <v>Екатерина 2201</v>
          </cell>
          <cell r="F579">
            <v>2490</v>
          </cell>
        </row>
        <row r="580">
          <cell r="A580">
            <v>46037</v>
          </cell>
          <cell r="D580" t="str">
            <v>Любовь 1302</v>
          </cell>
          <cell r="F580">
            <v>0</v>
          </cell>
        </row>
        <row r="581">
          <cell r="A581">
            <v>46037</v>
          </cell>
          <cell r="D581" t="str">
            <v>Любовь 1302</v>
          </cell>
          <cell r="F581">
            <v>1490</v>
          </cell>
        </row>
        <row r="582">
          <cell r="A582">
            <v>46037</v>
          </cell>
          <cell r="D582" t="str">
            <v>Екатерина 2201</v>
          </cell>
          <cell r="F582">
            <v>2000</v>
          </cell>
        </row>
        <row r="583">
          <cell r="A583">
            <v>46037</v>
          </cell>
          <cell r="D583" t="str">
            <v>Оганов А.С.7272</v>
          </cell>
          <cell r="F583">
            <v>5000</v>
          </cell>
        </row>
        <row r="584">
          <cell r="A584">
            <v>46037</v>
          </cell>
          <cell r="D584" t="str">
            <v>Оганов А.С.7272</v>
          </cell>
          <cell r="F584">
            <v>2500</v>
          </cell>
        </row>
        <row r="585">
          <cell r="A585">
            <v>46037</v>
          </cell>
          <cell r="D585" t="str">
            <v>Екатерина 2201</v>
          </cell>
          <cell r="F585">
            <v>3000</v>
          </cell>
        </row>
        <row r="586">
          <cell r="A586">
            <v>46037</v>
          </cell>
          <cell r="D586" t="str">
            <v>Екатерина 2201</v>
          </cell>
          <cell r="F586">
            <v>490</v>
          </cell>
        </row>
        <row r="587">
          <cell r="A587">
            <v>46037</v>
          </cell>
          <cell r="D587" t="str">
            <v>Екатерина 2201</v>
          </cell>
          <cell r="F587">
            <v>1690</v>
          </cell>
        </row>
        <row r="588">
          <cell r="A588">
            <v>46037</v>
          </cell>
          <cell r="D588" t="str">
            <v>Екатерина 2201</v>
          </cell>
          <cell r="F588">
            <v>1380</v>
          </cell>
        </row>
        <row r="589">
          <cell r="A589">
            <v>46037</v>
          </cell>
          <cell r="D589" t="str">
            <v>Оганов А.С.5984</v>
          </cell>
          <cell r="F589">
            <v>695</v>
          </cell>
        </row>
        <row r="590">
          <cell r="A590">
            <v>46037</v>
          </cell>
          <cell r="D590" t="str">
            <v>Оганов А.С.3007</v>
          </cell>
          <cell r="F590">
            <v>7500</v>
          </cell>
        </row>
        <row r="591">
          <cell r="A591">
            <v>46037</v>
          </cell>
          <cell r="D591" t="str">
            <v>Оганов А.С.3007</v>
          </cell>
          <cell r="F591">
            <v>5000</v>
          </cell>
        </row>
        <row r="592">
          <cell r="A592">
            <v>46037</v>
          </cell>
          <cell r="D592" t="str">
            <v>Оганов А.С.3007</v>
          </cell>
          <cell r="F592">
            <v>1500</v>
          </cell>
        </row>
        <row r="593">
          <cell r="A593">
            <v>46037</v>
          </cell>
          <cell r="D593" t="str">
            <v>Любовь 1302</v>
          </cell>
          <cell r="F593">
            <v>1500</v>
          </cell>
        </row>
        <row r="594">
          <cell r="A594">
            <v>46037</v>
          </cell>
          <cell r="D594" t="str">
            <v>Любовь 1302</v>
          </cell>
          <cell r="F594">
            <v>390</v>
          </cell>
        </row>
        <row r="595">
          <cell r="A595">
            <v>46037</v>
          </cell>
          <cell r="D595" t="str">
            <v>Любовь 1302</v>
          </cell>
          <cell r="F595">
            <v>1500</v>
          </cell>
        </row>
        <row r="596">
          <cell r="A596">
            <v>46037</v>
          </cell>
          <cell r="D596" t="str">
            <v>Любовь 1302</v>
          </cell>
          <cell r="F596">
            <v>1750</v>
          </cell>
        </row>
        <row r="597">
          <cell r="A597">
            <v>46037</v>
          </cell>
          <cell r="D597" t="str">
            <v>Любовь 1302</v>
          </cell>
          <cell r="F597">
            <v>1750</v>
          </cell>
        </row>
        <row r="598">
          <cell r="A598">
            <v>46037</v>
          </cell>
          <cell r="D598" t="str">
            <v>Оганов А.С.7272</v>
          </cell>
          <cell r="F598">
            <v>390</v>
          </cell>
        </row>
        <row r="599">
          <cell r="A599">
            <v>46037</v>
          </cell>
          <cell r="D599" t="str">
            <v>Оганов А.С.7272</v>
          </cell>
          <cell r="F599">
            <v>690</v>
          </cell>
        </row>
        <row r="600">
          <cell r="A600">
            <v>46037</v>
          </cell>
          <cell r="D600" t="str">
            <v>Оганов А.С.2404</v>
          </cell>
          <cell r="F600">
            <v>690</v>
          </cell>
        </row>
        <row r="601">
          <cell r="A601">
            <v>46037</v>
          </cell>
          <cell r="D601" t="str">
            <v>Екатерина 2201</v>
          </cell>
          <cell r="F601">
            <v>1000</v>
          </cell>
        </row>
        <row r="602">
          <cell r="A602">
            <v>46037</v>
          </cell>
          <cell r="D602" t="str">
            <v>Оганов А.С.7272</v>
          </cell>
          <cell r="F602">
            <v>100</v>
          </cell>
        </row>
        <row r="603">
          <cell r="A603">
            <v>46037</v>
          </cell>
          <cell r="D603" t="str">
            <v>Оганов А.С.7272</v>
          </cell>
          <cell r="F603">
            <v>1350</v>
          </cell>
        </row>
        <row r="604">
          <cell r="A604">
            <v>46037</v>
          </cell>
          <cell r="D604" t="str">
            <v>Оганов А.С.7272</v>
          </cell>
          <cell r="F604">
            <v>150</v>
          </cell>
        </row>
        <row r="605">
          <cell r="A605">
            <v>46037</v>
          </cell>
          <cell r="D605" t="str">
            <v>Екатерина 2201</v>
          </cell>
          <cell r="F605">
            <v>4490</v>
          </cell>
        </row>
        <row r="606">
          <cell r="A606">
            <v>46037</v>
          </cell>
          <cell r="D606" t="str">
            <v>Любовь 1302</v>
          </cell>
          <cell r="F606">
            <v>690</v>
          </cell>
        </row>
        <row r="607">
          <cell r="A607">
            <v>46037</v>
          </cell>
          <cell r="D607" t="str">
            <v>Оганов А.С.3007</v>
          </cell>
          <cell r="F607">
            <v>1490</v>
          </cell>
        </row>
        <row r="608">
          <cell r="A608">
            <v>46037</v>
          </cell>
          <cell r="D608" t="str">
            <v>Екатерина 2201</v>
          </cell>
          <cell r="F608">
            <v>690</v>
          </cell>
        </row>
        <row r="609">
          <cell r="A609">
            <v>46037</v>
          </cell>
          <cell r="D609" t="str">
            <v>Екатерина 2201</v>
          </cell>
          <cell r="F609">
            <v>1190</v>
          </cell>
        </row>
        <row r="610">
          <cell r="A610">
            <v>46037</v>
          </cell>
          <cell r="D610" t="str">
            <v>Екатерина 2201</v>
          </cell>
          <cell r="F610">
            <v>4000</v>
          </cell>
        </row>
        <row r="611">
          <cell r="A611">
            <v>46037</v>
          </cell>
          <cell r="D611" t="str">
            <v>Екатерина 2201</v>
          </cell>
          <cell r="F611">
            <v>1500</v>
          </cell>
        </row>
        <row r="612">
          <cell r="A612">
            <v>46037</v>
          </cell>
          <cell r="D612" t="str">
            <v>Екатерина 2201</v>
          </cell>
          <cell r="F612">
            <v>1390</v>
          </cell>
        </row>
        <row r="613">
          <cell r="A613">
            <v>46037</v>
          </cell>
          <cell r="D613" t="str">
            <v>Оганов А.С.5984</v>
          </cell>
          <cell r="F613">
            <v>2090</v>
          </cell>
        </row>
        <row r="614">
          <cell r="A614">
            <v>46037</v>
          </cell>
          <cell r="D614" t="str">
            <v>Оганов А.С.5984</v>
          </cell>
          <cell r="F614">
            <v>890</v>
          </cell>
        </row>
        <row r="615">
          <cell r="A615">
            <v>46037</v>
          </cell>
          <cell r="D615" t="str">
            <v>Оганов А.С.3007</v>
          </cell>
          <cell r="F615">
            <v>1749</v>
          </cell>
        </row>
        <row r="616">
          <cell r="A616">
            <v>46037</v>
          </cell>
          <cell r="D616" t="str">
            <v>Екатерина 2201</v>
          </cell>
          <cell r="F616">
            <v>2500</v>
          </cell>
        </row>
        <row r="617">
          <cell r="A617">
            <v>46037</v>
          </cell>
          <cell r="D617" t="str">
            <v>Екатерина 2201</v>
          </cell>
          <cell r="F617">
            <v>690</v>
          </cell>
        </row>
        <row r="618">
          <cell r="A618">
            <v>46037</v>
          </cell>
          <cell r="D618" t="str">
            <v>Оганов А.С.7272</v>
          </cell>
          <cell r="F618">
            <v>690</v>
          </cell>
        </row>
        <row r="619">
          <cell r="A619">
            <v>46037</v>
          </cell>
          <cell r="D619" t="str">
            <v>Оганов А.С.5984</v>
          </cell>
          <cell r="F619">
            <v>1170</v>
          </cell>
        </row>
        <row r="620">
          <cell r="A620">
            <v>46037</v>
          </cell>
          <cell r="D620" t="str">
            <v>Екатерина 2201</v>
          </cell>
          <cell r="F620">
            <v>490</v>
          </cell>
        </row>
        <row r="621">
          <cell r="A621">
            <v>46037</v>
          </cell>
          <cell r="D621" t="str">
            <v>Любовь 1302</v>
          </cell>
          <cell r="F621">
            <v>950</v>
          </cell>
        </row>
        <row r="622">
          <cell r="A622">
            <v>46037</v>
          </cell>
          <cell r="D622" t="str">
            <v>Любовь 1302</v>
          </cell>
          <cell r="F622">
            <v>1290</v>
          </cell>
        </row>
        <row r="623">
          <cell r="A623">
            <v>46037</v>
          </cell>
          <cell r="D623" t="str">
            <v>Любовь 1302</v>
          </cell>
          <cell r="F623">
            <v>3500</v>
          </cell>
        </row>
        <row r="624">
          <cell r="A624">
            <v>46037</v>
          </cell>
          <cell r="D624" t="str">
            <v>Любовь 1302</v>
          </cell>
          <cell r="F624">
            <v>0</v>
          </cell>
        </row>
        <row r="625">
          <cell r="A625">
            <v>46037</v>
          </cell>
          <cell r="D625" t="str">
            <v>Любовь 1302</v>
          </cell>
          <cell r="F625">
            <v>0</v>
          </cell>
        </row>
        <row r="626">
          <cell r="A626">
            <v>46037</v>
          </cell>
          <cell r="D626" t="str">
            <v>Любовь 1302</v>
          </cell>
          <cell r="F626">
            <v>1000</v>
          </cell>
        </row>
        <row r="627">
          <cell r="A627">
            <v>46037</v>
          </cell>
          <cell r="D627" t="str">
            <v>Оганов А.С.7272</v>
          </cell>
          <cell r="F627">
            <v>690</v>
          </cell>
        </row>
        <row r="628">
          <cell r="A628">
            <v>46037</v>
          </cell>
          <cell r="D628" t="str">
            <v>Оганов А.С.7272</v>
          </cell>
          <cell r="F628">
            <v>290</v>
          </cell>
        </row>
        <row r="629">
          <cell r="A629">
            <v>46037</v>
          </cell>
          <cell r="D629" t="str">
            <v>Оганов А.С.7272</v>
          </cell>
          <cell r="F629">
            <v>4580</v>
          </cell>
        </row>
        <row r="630">
          <cell r="A630">
            <v>46037</v>
          </cell>
          <cell r="D630" t="str">
            <v>Оганов А.С.7272</v>
          </cell>
          <cell r="F630">
            <v>3180</v>
          </cell>
        </row>
        <row r="631">
          <cell r="A631">
            <v>46037</v>
          </cell>
          <cell r="D631" t="str">
            <v>Оганов А.С.7272</v>
          </cell>
          <cell r="F631">
            <v>2000</v>
          </cell>
        </row>
        <row r="632">
          <cell r="A632">
            <v>46037</v>
          </cell>
          <cell r="D632" t="str">
            <v>Любовь 1302</v>
          </cell>
          <cell r="F632">
            <v>690</v>
          </cell>
        </row>
        <row r="633">
          <cell r="A633">
            <v>46037</v>
          </cell>
          <cell r="D633" t="str">
            <v>Екатерина 2201</v>
          </cell>
          <cell r="F633">
            <v>1050</v>
          </cell>
        </row>
        <row r="634">
          <cell r="A634">
            <v>46037</v>
          </cell>
          <cell r="D634" t="str">
            <v>Оганов А.С.5984</v>
          </cell>
          <cell r="F634">
            <v>2490</v>
          </cell>
        </row>
        <row r="635">
          <cell r="A635">
            <v>46037</v>
          </cell>
          <cell r="D635" t="str">
            <v>Оганов А.С.5984</v>
          </cell>
          <cell r="F635">
            <v>1580</v>
          </cell>
        </row>
        <row r="636">
          <cell r="A636">
            <v>46037</v>
          </cell>
          <cell r="D636" t="str">
            <v>Оганов А.С.5984</v>
          </cell>
          <cell r="F636">
            <v>2750</v>
          </cell>
        </row>
        <row r="637">
          <cell r="A637">
            <v>46038</v>
          </cell>
          <cell r="D637" t="str">
            <v>Оганов А.С.2602</v>
          </cell>
          <cell r="F637">
            <v>1050</v>
          </cell>
        </row>
        <row r="638">
          <cell r="A638">
            <v>46038</v>
          </cell>
          <cell r="D638" t="str">
            <v>Оганов А.С.7272</v>
          </cell>
          <cell r="F638">
            <v>5500</v>
          </cell>
        </row>
        <row r="639">
          <cell r="A639">
            <v>46038</v>
          </cell>
          <cell r="D639" t="str">
            <v>Оганов А.С.3007</v>
          </cell>
          <cell r="F639">
            <v>5490</v>
          </cell>
        </row>
        <row r="640">
          <cell r="A640">
            <v>46038</v>
          </cell>
          <cell r="D640" t="str">
            <v>Оганов А.С.3007</v>
          </cell>
          <cell r="F640">
            <v>1490</v>
          </cell>
        </row>
        <row r="641">
          <cell r="A641">
            <v>46038</v>
          </cell>
          <cell r="D641" t="str">
            <v>Оганов А.С.3007</v>
          </cell>
          <cell r="F641">
            <v>1490</v>
          </cell>
        </row>
        <row r="642">
          <cell r="A642">
            <v>46038</v>
          </cell>
          <cell r="D642" t="str">
            <v>Оганов А.С.3007</v>
          </cell>
          <cell r="F642">
            <v>5000</v>
          </cell>
        </row>
        <row r="643">
          <cell r="A643">
            <v>46038</v>
          </cell>
          <cell r="D643" t="str">
            <v>Оганов А.С.3007</v>
          </cell>
          <cell r="F643">
            <v>4580</v>
          </cell>
        </row>
        <row r="644">
          <cell r="A644">
            <v>46038</v>
          </cell>
          <cell r="D644" t="str">
            <v>Оганов А.С.3007</v>
          </cell>
          <cell r="F644">
            <v>5490</v>
          </cell>
        </row>
        <row r="645">
          <cell r="A645">
            <v>46038</v>
          </cell>
          <cell r="D645" t="str">
            <v>Оганов А.С.3007</v>
          </cell>
          <cell r="F645">
            <v>790</v>
          </cell>
        </row>
        <row r="646">
          <cell r="A646">
            <v>46038</v>
          </cell>
          <cell r="D646" t="str">
            <v>Оганов А.С.3007</v>
          </cell>
          <cell r="F646">
            <v>3000</v>
          </cell>
        </row>
        <row r="647">
          <cell r="A647">
            <v>46038</v>
          </cell>
          <cell r="D647" t="str">
            <v>Оганов А.С.3007</v>
          </cell>
          <cell r="F647">
            <v>7500</v>
          </cell>
        </row>
        <row r="648">
          <cell r="A648">
            <v>46038</v>
          </cell>
          <cell r="D648" t="str">
            <v>Виктория 2502</v>
          </cell>
          <cell r="F648">
            <v>690</v>
          </cell>
        </row>
        <row r="649">
          <cell r="A649">
            <v>46038</v>
          </cell>
          <cell r="D649" t="str">
            <v>Виктория 2502</v>
          </cell>
          <cell r="F649">
            <v>1000</v>
          </cell>
        </row>
        <row r="650">
          <cell r="A650">
            <v>46038</v>
          </cell>
          <cell r="D650" t="str">
            <v>Оганов А. С. 2106</v>
          </cell>
          <cell r="F650">
            <v>690</v>
          </cell>
        </row>
        <row r="651">
          <cell r="A651">
            <v>46038</v>
          </cell>
          <cell r="D651" t="str">
            <v>Оганов А.С.7272</v>
          </cell>
          <cell r="F651">
            <v>1000</v>
          </cell>
        </row>
        <row r="652">
          <cell r="A652">
            <v>46038</v>
          </cell>
          <cell r="D652" t="str">
            <v>Оганов А.С.7272</v>
          </cell>
          <cell r="F652">
            <v>2980</v>
          </cell>
        </row>
        <row r="653">
          <cell r="A653">
            <v>46038</v>
          </cell>
          <cell r="D653" t="str">
            <v>Оганов А.С.7272</v>
          </cell>
          <cell r="F653">
            <v>1490</v>
          </cell>
        </row>
        <row r="654">
          <cell r="A654">
            <v>46038</v>
          </cell>
          <cell r="D654" t="str">
            <v>Оганов А.С.7272</v>
          </cell>
          <cell r="F654">
            <v>690</v>
          </cell>
        </row>
        <row r="655">
          <cell r="A655">
            <v>46038</v>
          </cell>
          <cell r="D655" t="str">
            <v>Оганов А.С.7272</v>
          </cell>
          <cell r="F655">
            <v>490</v>
          </cell>
        </row>
        <row r="656">
          <cell r="A656">
            <v>46038</v>
          </cell>
          <cell r="D656" t="str">
            <v>Виктория 2502</v>
          </cell>
          <cell r="F656">
            <v>4490</v>
          </cell>
        </row>
        <row r="657">
          <cell r="A657">
            <v>46038</v>
          </cell>
          <cell r="D657" t="str">
            <v>Виктория 2502</v>
          </cell>
          <cell r="F657">
            <v>0</v>
          </cell>
        </row>
        <row r="658">
          <cell r="A658">
            <v>46038</v>
          </cell>
          <cell r="D658" t="str">
            <v>Виктория 2502</v>
          </cell>
          <cell r="F658">
            <v>1390</v>
          </cell>
        </row>
        <row r="659">
          <cell r="A659">
            <v>46038</v>
          </cell>
          <cell r="D659" t="str">
            <v>Оганов А.С.3007</v>
          </cell>
          <cell r="F659">
            <v>2290</v>
          </cell>
        </row>
        <row r="660">
          <cell r="A660">
            <v>46038</v>
          </cell>
          <cell r="D660" t="str">
            <v>Оганов А.С.3007</v>
          </cell>
          <cell r="F660">
            <v>3000</v>
          </cell>
        </row>
        <row r="661">
          <cell r="A661">
            <v>46038</v>
          </cell>
          <cell r="D661" t="str">
            <v>Оганов А.С.3007</v>
          </cell>
          <cell r="F661">
            <v>2290</v>
          </cell>
        </row>
        <row r="662">
          <cell r="A662">
            <v>46038</v>
          </cell>
          <cell r="D662" t="str">
            <v>Оганов А.С.3007</v>
          </cell>
          <cell r="F662">
            <v>2290</v>
          </cell>
        </row>
        <row r="663">
          <cell r="A663">
            <v>46038</v>
          </cell>
          <cell r="D663" t="str">
            <v>Оганов А.С.2602</v>
          </cell>
          <cell r="F663">
            <v>3450</v>
          </cell>
        </row>
        <row r="664">
          <cell r="A664">
            <v>46038</v>
          </cell>
          <cell r="D664" t="str">
            <v>Виктория 2502</v>
          </cell>
          <cell r="F664">
            <v>2490</v>
          </cell>
        </row>
        <row r="665">
          <cell r="A665">
            <v>46038</v>
          </cell>
          <cell r="D665" t="str">
            <v>Виктория 2502</v>
          </cell>
          <cell r="F665">
            <v>1350</v>
          </cell>
        </row>
        <row r="666">
          <cell r="A666">
            <v>46038</v>
          </cell>
          <cell r="D666" t="str">
            <v>Виктория 2502</v>
          </cell>
          <cell r="F666">
            <v>890</v>
          </cell>
        </row>
        <row r="667">
          <cell r="A667">
            <v>46038</v>
          </cell>
          <cell r="D667" t="str">
            <v>Виктория 2502</v>
          </cell>
          <cell r="F667">
            <v>0</v>
          </cell>
        </row>
        <row r="668">
          <cell r="A668">
            <v>46038</v>
          </cell>
          <cell r="D668" t="str">
            <v>Виктория 2502</v>
          </cell>
          <cell r="F668">
            <v>1280</v>
          </cell>
        </row>
        <row r="669">
          <cell r="A669">
            <v>46038</v>
          </cell>
          <cell r="D669" t="str">
            <v>Оганов А.С.7272</v>
          </cell>
          <cell r="F669">
            <v>980</v>
          </cell>
        </row>
        <row r="670">
          <cell r="A670">
            <v>46038</v>
          </cell>
          <cell r="D670" t="str">
            <v>Оганов А.С.7272</v>
          </cell>
          <cell r="F670">
            <v>5500</v>
          </cell>
        </row>
        <row r="671">
          <cell r="A671">
            <v>46038</v>
          </cell>
          <cell r="D671" t="str">
            <v>Оганов А.С.7272</v>
          </cell>
          <cell r="F671">
            <v>4500</v>
          </cell>
        </row>
        <row r="672">
          <cell r="A672">
            <v>46038</v>
          </cell>
          <cell r="D672" t="str">
            <v>Оганов А.С.7272</v>
          </cell>
          <cell r="F672">
            <v>1500</v>
          </cell>
        </row>
        <row r="673">
          <cell r="A673">
            <v>46038</v>
          </cell>
          <cell r="D673" t="str">
            <v>Оганов А.С.7272</v>
          </cell>
          <cell r="F673">
            <v>5000</v>
          </cell>
        </row>
        <row r="674">
          <cell r="A674">
            <v>46038</v>
          </cell>
          <cell r="D674" t="str">
            <v>Оганов А.С.7272</v>
          </cell>
          <cell r="F674">
            <v>6000</v>
          </cell>
        </row>
        <row r="675">
          <cell r="A675">
            <v>46038</v>
          </cell>
          <cell r="D675" t="str">
            <v>Оганов А.С.7272</v>
          </cell>
          <cell r="F675">
            <v>1000</v>
          </cell>
        </row>
        <row r="676">
          <cell r="A676">
            <v>46038</v>
          </cell>
          <cell r="D676" t="str">
            <v>Оганов А.С.2602</v>
          </cell>
          <cell r="F676">
            <v>1500</v>
          </cell>
        </row>
        <row r="677">
          <cell r="A677">
            <v>46038</v>
          </cell>
          <cell r="D677" t="str">
            <v>Оганов А.С.2602</v>
          </cell>
          <cell r="F677">
            <v>1500</v>
          </cell>
        </row>
        <row r="678">
          <cell r="A678">
            <v>46038</v>
          </cell>
          <cell r="D678" t="str">
            <v>Оганов А.С.2602</v>
          </cell>
          <cell r="F678">
            <v>1490</v>
          </cell>
        </row>
        <row r="679">
          <cell r="A679">
            <v>46038</v>
          </cell>
          <cell r="D679" t="str">
            <v>Оганов А.С.2602</v>
          </cell>
          <cell r="F679">
            <v>1000</v>
          </cell>
        </row>
        <row r="680">
          <cell r="A680">
            <v>46038</v>
          </cell>
          <cell r="D680" t="str">
            <v>Виктория 2502</v>
          </cell>
          <cell r="F680">
            <v>1390</v>
          </cell>
        </row>
        <row r="681">
          <cell r="A681">
            <v>46038</v>
          </cell>
          <cell r="D681" t="str">
            <v>Оганов А.С.2602</v>
          </cell>
          <cell r="F681">
            <v>3450</v>
          </cell>
        </row>
        <row r="682">
          <cell r="A682">
            <v>46038</v>
          </cell>
          <cell r="D682" t="str">
            <v>Оганов А.С.7272</v>
          </cell>
          <cell r="F682">
            <v>2490</v>
          </cell>
        </row>
        <row r="683">
          <cell r="A683">
            <v>46038</v>
          </cell>
          <cell r="D683" t="str">
            <v>Оганов А.С.7272</v>
          </cell>
          <cell r="F683">
            <v>1350</v>
          </cell>
        </row>
        <row r="684">
          <cell r="A684">
            <v>46038</v>
          </cell>
          <cell r="D684" t="str">
            <v>Оганов А.С.2404</v>
          </cell>
          <cell r="F684">
            <v>1500</v>
          </cell>
        </row>
        <row r="685">
          <cell r="A685">
            <v>46038</v>
          </cell>
          <cell r="D685" t="str">
            <v>Оганов А. С. 2106</v>
          </cell>
          <cell r="F685">
            <v>780</v>
          </cell>
        </row>
        <row r="686">
          <cell r="A686">
            <v>46038</v>
          </cell>
          <cell r="D686" t="str">
            <v>Оганов А.С.3007</v>
          </cell>
          <cell r="F686">
            <v>1390</v>
          </cell>
        </row>
        <row r="687">
          <cell r="A687">
            <v>46038</v>
          </cell>
          <cell r="D687" t="str">
            <v>Оганов А.С.7272</v>
          </cell>
          <cell r="F687">
            <v>2590</v>
          </cell>
        </row>
        <row r="688">
          <cell r="A688">
            <v>46038</v>
          </cell>
          <cell r="D688" t="str">
            <v>Оганов А.С.3007</v>
          </cell>
          <cell r="F688">
            <v>1280</v>
          </cell>
        </row>
        <row r="689">
          <cell r="A689">
            <v>46038</v>
          </cell>
          <cell r="D689" t="str">
            <v>Оганов А.С.3007</v>
          </cell>
          <cell r="F689">
            <v>990</v>
          </cell>
        </row>
        <row r="690">
          <cell r="A690">
            <v>46038</v>
          </cell>
          <cell r="D690" t="str">
            <v>Виктория 2502</v>
          </cell>
          <cell r="F690">
            <v>590</v>
          </cell>
        </row>
        <row r="691">
          <cell r="A691">
            <v>46038</v>
          </cell>
          <cell r="D691" t="str">
            <v>Виктория 2502</v>
          </cell>
          <cell r="F691">
            <v>1280</v>
          </cell>
        </row>
        <row r="692">
          <cell r="A692">
            <v>46038</v>
          </cell>
          <cell r="D692" t="str">
            <v>Виктория 2502</v>
          </cell>
          <cell r="F692">
            <v>1350</v>
          </cell>
        </row>
        <row r="693">
          <cell r="A693">
            <v>46038</v>
          </cell>
          <cell r="D693" t="str">
            <v>Виктория 2502</v>
          </cell>
          <cell r="F693">
            <v>4500</v>
          </cell>
        </row>
        <row r="694">
          <cell r="A694">
            <v>46038</v>
          </cell>
          <cell r="D694" t="str">
            <v>Виктория 2502</v>
          </cell>
          <cell r="F694">
            <v>1350</v>
          </cell>
        </row>
        <row r="695">
          <cell r="A695">
            <v>46038</v>
          </cell>
          <cell r="D695" t="str">
            <v>Виктория 2502</v>
          </cell>
          <cell r="F695">
            <v>711</v>
          </cell>
        </row>
        <row r="696">
          <cell r="A696">
            <v>46038</v>
          </cell>
          <cell r="D696" t="str">
            <v>Виктория 2502</v>
          </cell>
          <cell r="F696">
            <v>2241</v>
          </cell>
        </row>
        <row r="697">
          <cell r="A697">
            <v>46038</v>
          </cell>
          <cell r="D697" t="str">
            <v>Виктория 2502</v>
          </cell>
          <cell r="F697">
            <v>1161</v>
          </cell>
        </row>
        <row r="698">
          <cell r="A698">
            <v>46038</v>
          </cell>
          <cell r="D698" t="str">
            <v>Виктория 2502</v>
          </cell>
          <cell r="F698">
            <v>1215</v>
          </cell>
        </row>
        <row r="699">
          <cell r="A699">
            <v>46038</v>
          </cell>
          <cell r="D699" t="str">
            <v>Виктория 2502</v>
          </cell>
          <cell r="F699">
            <v>5000</v>
          </cell>
        </row>
        <row r="700">
          <cell r="A700">
            <v>46038</v>
          </cell>
          <cell r="D700" t="str">
            <v>Оганов А.С.7272</v>
          </cell>
          <cell r="F700">
            <v>1290</v>
          </cell>
        </row>
        <row r="701">
          <cell r="A701">
            <v>46038</v>
          </cell>
          <cell r="D701" t="str">
            <v>Оганов А.С.7272</v>
          </cell>
          <cell r="F701">
            <v>2290</v>
          </cell>
        </row>
        <row r="702">
          <cell r="A702">
            <v>46038</v>
          </cell>
          <cell r="D702" t="str">
            <v>Оганов А. С. 2106</v>
          </cell>
          <cell r="F702">
            <v>790</v>
          </cell>
        </row>
        <row r="703">
          <cell r="A703">
            <v>46038</v>
          </cell>
          <cell r="D703" t="str">
            <v>Оганов А. С. 2106</v>
          </cell>
          <cell r="F703">
            <v>900</v>
          </cell>
        </row>
        <row r="704">
          <cell r="A704">
            <v>46038</v>
          </cell>
          <cell r="D704" t="str">
            <v>Виктория 2502</v>
          </cell>
          <cell r="F704">
            <v>1500</v>
          </cell>
        </row>
        <row r="705">
          <cell r="A705">
            <v>46038</v>
          </cell>
          <cell r="D705" t="str">
            <v>Виктория 2502</v>
          </cell>
          <cell r="F705">
            <v>2250</v>
          </cell>
        </row>
        <row r="706">
          <cell r="A706">
            <v>46038</v>
          </cell>
          <cell r="D706" t="str">
            <v>Оганов А.С.2602</v>
          </cell>
          <cell r="F706">
            <v>2690</v>
          </cell>
        </row>
        <row r="707">
          <cell r="A707">
            <v>46039</v>
          </cell>
          <cell r="D707" t="str">
            <v>Вероника 1996</v>
          </cell>
          <cell r="F707">
            <v>1350</v>
          </cell>
        </row>
        <row r="708">
          <cell r="A708">
            <v>46039</v>
          </cell>
          <cell r="D708" t="str">
            <v>Вероника 1996</v>
          </cell>
          <cell r="F708">
            <v>875</v>
          </cell>
        </row>
        <row r="709">
          <cell r="A709">
            <v>46039</v>
          </cell>
          <cell r="D709" t="str">
            <v>Оганов А.С.1505</v>
          </cell>
          <cell r="F709">
            <v>5490</v>
          </cell>
        </row>
        <row r="710">
          <cell r="A710">
            <v>46039</v>
          </cell>
          <cell r="D710" t="str">
            <v>Вероника 1996</v>
          </cell>
          <cell r="F710">
            <v>0</v>
          </cell>
        </row>
        <row r="711">
          <cell r="A711">
            <v>46039</v>
          </cell>
          <cell r="D711" t="str">
            <v>Вероника 1996</v>
          </cell>
          <cell r="F711">
            <v>0</v>
          </cell>
        </row>
        <row r="712">
          <cell r="A712">
            <v>46039</v>
          </cell>
          <cell r="D712" t="str">
            <v>Вероника 1996</v>
          </cell>
          <cell r="F712">
            <v>1000</v>
          </cell>
        </row>
        <row r="713">
          <cell r="A713">
            <v>46039</v>
          </cell>
          <cell r="D713" t="str">
            <v>Вероника 1996</v>
          </cell>
          <cell r="F713">
            <v>2490</v>
          </cell>
        </row>
        <row r="714">
          <cell r="A714">
            <v>46039</v>
          </cell>
          <cell r="D714" t="str">
            <v>Вероника 1996</v>
          </cell>
          <cell r="F714">
            <v>0</v>
          </cell>
        </row>
        <row r="715">
          <cell r="A715">
            <v>46039</v>
          </cell>
          <cell r="D715" t="str">
            <v>Вероника 1996</v>
          </cell>
          <cell r="F715">
            <v>1000</v>
          </cell>
        </row>
        <row r="716">
          <cell r="A716">
            <v>46039</v>
          </cell>
          <cell r="D716" t="str">
            <v>Вероника 1996</v>
          </cell>
          <cell r="F716">
            <v>1500</v>
          </cell>
        </row>
        <row r="717">
          <cell r="A717">
            <v>46039</v>
          </cell>
          <cell r="D717" t="str">
            <v>Вероника 1996</v>
          </cell>
          <cell r="F717">
            <v>1500</v>
          </cell>
        </row>
        <row r="718">
          <cell r="A718">
            <v>46039</v>
          </cell>
          <cell r="D718" t="str">
            <v>Оганов А. С. 2106</v>
          </cell>
          <cell r="F718">
            <v>2990</v>
          </cell>
        </row>
        <row r="719">
          <cell r="A719">
            <v>46039</v>
          </cell>
          <cell r="D719" t="str">
            <v>Оганов А.С.1505</v>
          </cell>
          <cell r="F719">
            <v>1780</v>
          </cell>
        </row>
        <row r="720">
          <cell r="A720">
            <v>46039</v>
          </cell>
          <cell r="D720" t="str">
            <v>Оганов А. С. 2106</v>
          </cell>
          <cell r="F720">
            <v>4470</v>
          </cell>
        </row>
        <row r="721">
          <cell r="A721">
            <v>46039</v>
          </cell>
          <cell r="D721" t="str">
            <v>Оганов А. С. 2106</v>
          </cell>
          <cell r="F721">
            <v>690</v>
          </cell>
        </row>
        <row r="722">
          <cell r="A722">
            <v>46039</v>
          </cell>
          <cell r="D722" t="str">
            <v>Виктория 2502</v>
          </cell>
          <cell r="F722">
            <v>490</v>
          </cell>
        </row>
        <row r="723">
          <cell r="A723">
            <v>46039</v>
          </cell>
          <cell r="D723" t="str">
            <v>Оганов А. С. 2106</v>
          </cell>
          <cell r="F723">
            <v>2980</v>
          </cell>
        </row>
        <row r="724">
          <cell r="A724">
            <v>46039</v>
          </cell>
          <cell r="D724" t="str">
            <v>Виктория 2502</v>
          </cell>
          <cell r="F724">
            <v>1690</v>
          </cell>
        </row>
        <row r="725">
          <cell r="A725">
            <v>46039</v>
          </cell>
          <cell r="D725" t="str">
            <v>Виктория 2502</v>
          </cell>
          <cell r="F725">
            <v>1280</v>
          </cell>
        </row>
        <row r="726">
          <cell r="A726">
            <v>46039</v>
          </cell>
          <cell r="D726" t="str">
            <v>Виктория 2502</v>
          </cell>
          <cell r="F726">
            <v>1390</v>
          </cell>
        </row>
        <row r="727">
          <cell r="A727">
            <v>46039</v>
          </cell>
          <cell r="D727" t="str">
            <v>Вероника 1996</v>
          </cell>
          <cell r="F727">
            <v>990</v>
          </cell>
        </row>
        <row r="728">
          <cell r="A728">
            <v>46039</v>
          </cell>
          <cell r="D728" t="str">
            <v>Виктория 2502</v>
          </cell>
          <cell r="F728">
            <v>695</v>
          </cell>
        </row>
        <row r="729">
          <cell r="A729">
            <v>46039</v>
          </cell>
          <cell r="D729" t="str">
            <v>Вероника 1996</v>
          </cell>
          <cell r="F729">
            <v>2500</v>
          </cell>
        </row>
        <row r="730">
          <cell r="A730">
            <v>46039</v>
          </cell>
          <cell r="D730" t="str">
            <v>Вероника 1996</v>
          </cell>
          <cell r="F730">
            <v>1350</v>
          </cell>
        </row>
        <row r="731">
          <cell r="A731">
            <v>46039</v>
          </cell>
          <cell r="D731" t="str">
            <v>Вероника 1996</v>
          </cell>
          <cell r="F731">
            <v>1000</v>
          </cell>
        </row>
        <row r="732">
          <cell r="A732">
            <v>46039</v>
          </cell>
          <cell r="D732" t="str">
            <v>Виктория 2502</v>
          </cell>
          <cell r="F732">
            <v>1200</v>
          </cell>
        </row>
        <row r="733">
          <cell r="A733">
            <v>46039</v>
          </cell>
          <cell r="D733" t="str">
            <v>Виктория 2502</v>
          </cell>
          <cell r="F733">
            <v>1180</v>
          </cell>
        </row>
        <row r="734">
          <cell r="A734">
            <v>46039</v>
          </cell>
          <cell r="D734" t="str">
            <v>Оганов А.С.0102</v>
          </cell>
          <cell r="F734">
            <v>0</v>
          </cell>
        </row>
        <row r="735">
          <cell r="A735">
            <v>46039</v>
          </cell>
          <cell r="D735" t="str">
            <v>Оганов А.С.0102</v>
          </cell>
          <cell r="F735">
            <v>5500</v>
          </cell>
        </row>
        <row r="736">
          <cell r="A736">
            <v>46039</v>
          </cell>
          <cell r="D736" t="str">
            <v>Оганов А.С.0102</v>
          </cell>
          <cell r="F736">
            <v>2000</v>
          </cell>
        </row>
        <row r="737">
          <cell r="A737">
            <v>46039</v>
          </cell>
          <cell r="D737" t="str">
            <v>Оганов А.С.0102</v>
          </cell>
          <cell r="F737">
            <v>0</v>
          </cell>
        </row>
        <row r="738">
          <cell r="A738">
            <v>46039</v>
          </cell>
          <cell r="D738" t="str">
            <v>Оганов А. С. 2106</v>
          </cell>
          <cell r="F738">
            <v>0</v>
          </cell>
        </row>
        <row r="739">
          <cell r="A739">
            <v>46039</v>
          </cell>
          <cell r="D739" t="str">
            <v>Виктория 2502</v>
          </cell>
          <cell r="F739">
            <v>0</v>
          </cell>
        </row>
        <row r="740">
          <cell r="A740">
            <v>46039</v>
          </cell>
          <cell r="D740" t="str">
            <v>Виктория 2502</v>
          </cell>
          <cell r="F740">
            <v>2990</v>
          </cell>
        </row>
        <row r="741">
          <cell r="A741">
            <v>46039</v>
          </cell>
          <cell r="D741" t="str">
            <v>Вероника 1996</v>
          </cell>
          <cell r="F741">
            <v>5000</v>
          </cell>
        </row>
        <row r="742">
          <cell r="A742">
            <v>46039</v>
          </cell>
          <cell r="D742" t="str">
            <v>Оганов А.С.0102</v>
          </cell>
          <cell r="F742">
            <v>5500</v>
          </cell>
        </row>
        <row r="743">
          <cell r="A743">
            <v>46039</v>
          </cell>
          <cell r="D743" t="str">
            <v>Вероника 1996</v>
          </cell>
          <cell r="F743">
            <v>2860</v>
          </cell>
        </row>
        <row r="744">
          <cell r="A744">
            <v>46039</v>
          </cell>
          <cell r="D744" t="str">
            <v>Вероника 1996</v>
          </cell>
          <cell r="F744">
            <v>1390</v>
          </cell>
        </row>
        <row r="745">
          <cell r="A745">
            <v>46039</v>
          </cell>
          <cell r="D745" t="str">
            <v>Вероника 1996</v>
          </cell>
          <cell r="F745">
            <v>2500</v>
          </cell>
        </row>
        <row r="746">
          <cell r="A746">
            <v>46039</v>
          </cell>
          <cell r="D746" t="str">
            <v>Вероника 1996</v>
          </cell>
          <cell r="F746">
            <v>2000</v>
          </cell>
        </row>
        <row r="747">
          <cell r="A747">
            <v>46039</v>
          </cell>
          <cell r="D747" t="str">
            <v>Вероника 1996</v>
          </cell>
          <cell r="F747">
            <v>1000</v>
          </cell>
        </row>
        <row r="748">
          <cell r="A748">
            <v>46039</v>
          </cell>
          <cell r="D748" t="str">
            <v>Вероника 1996</v>
          </cell>
          <cell r="F748">
            <v>500</v>
          </cell>
        </row>
        <row r="749">
          <cell r="A749">
            <v>46039</v>
          </cell>
          <cell r="D749" t="str">
            <v>Вероника 1996</v>
          </cell>
          <cell r="F749">
            <v>250</v>
          </cell>
        </row>
        <row r="750">
          <cell r="A750">
            <v>46039</v>
          </cell>
          <cell r="D750" t="str">
            <v>Оганов А. С. 2106</v>
          </cell>
          <cell r="F750">
            <v>0</v>
          </cell>
        </row>
        <row r="751">
          <cell r="A751">
            <v>46039</v>
          </cell>
          <cell r="D751" t="str">
            <v>Оганов А. С. 2106</v>
          </cell>
          <cell r="F751">
            <v>5000</v>
          </cell>
        </row>
        <row r="752">
          <cell r="A752">
            <v>46039</v>
          </cell>
          <cell r="D752" t="str">
            <v>Вероника 1996</v>
          </cell>
          <cell r="F752">
            <v>5000</v>
          </cell>
        </row>
        <row r="753">
          <cell r="A753">
            <v>46039</v>
          </cell>
          <cell r="D753" t="str">
            <v>Вероника 1996</v>
          </cell>
          <cell r="F753">
            <v>1500</v>
          </cell>
        </row>
        <row r="754">
          <cell r="A754">
            <v>46039</v>
          </cell>
          <cell r="D754" t="str">
            <v>Вероника 1996</v>
          </cell>
          <cell r="F754">
            <v>1000</v>
          </cell>
        </row>
        <row r="755">
          <cell r="A755">
            <v>46039</v>
          </cell>
          <cell r="D755" t="str">
            <v>Вероника 1996</v>
          </cell>
          <cell r="F755">
            <v>1000</v>
          </cell>
        </row>
        <row r="756">
          <cell r="A756">
            <v>46039</v>
          </cell>
          <cell r="D756" t="str">
            <v>Вероника 1996</v>
          </cell>
          <cell r="F756">
            <v>1000</v>
          </cell>
        </row>
        <row r="757">
          <cell r="A757">
            <v>46039</v>
          </cell>
          <cell r="D757" t="str">
            <v>Вероника 1996</v>
          </cell>
          <cell r="F757">
            <v>5000</v>
          </cell>
        </row>
        <row r="758">
          <cell r="A758">
            <v>46039</v>
          </cell>
          <cell r="D758" t="str">
            <v>Оганов А.С.0102</v>
          </cell>
          <cell r="F758">
            <v>2980</v>
          </cell>
        </row>
        <row r="759">
          <cell r="A759">
            <v>46039</v>
          </cell>
          <cell r="D759" t="str">
            <v>Виктория 2502</v>
          </cell>
          <cell r="F759">
            <v>1990</v>
          </cell>
        </row>
        <row r="760">
          <cell r="A760">
            <v>46039</v>
          </cell>
          <cell r="D760" t="str">
            <v>Виктория 2502</v>
          </cell>
          <cell r="F760">
            <v>4790</v>
          </cell>
        </row>
        <row r="761">
          <cell r="A761">
            <v>46039</v>
          </cell>
          <cell r="D761" t="str">
            <v>Виктория 2502</v>
          </cell>
          <cell r="F761">
            <v>1290</v>
          </cell>
        </row>
        <row r="762">
          <cell r="A762">
            <v>46039</v>
          </cell>
          <cell r="D762" t="str">
            <v>Виктория 2502</v>
          </cell>
          <cell r="F762">
            <v>1200</v>
          </cell>
        </row>
        <row r="763">
          <cell r="A763">
            <v>46039</v>
          </cell>
          <cell r="D763" t="str">
            <v>Вероника 1996</v>
          </cell>
          <cell r="F763">
            <v>4000</v>
          </cell>
        </row>
        <row r="764">
          <cell r="A764">
            <v>46039</v>
          </cell>
          <cell r="D764" t="str">
            <v>Вероника 1996</v>
          </cell>
          <cell r="F764">
            <v>1000</v>
          </cell>
        </row>
        <row r="765">
          <cell r="A765">
            <v>46039</v>
          </cell>
          <cell r="D765" t="str">
            <v>Вероника 1996</v>
          </cell>
          <cell r="F765">
            <v>3590</v>
          </cell>
        </row>
        <row r="766">
          <cell r="A766">
            <v>46041</v>
          </cell>
          <cell r="D766" t="str">
            <v>Оганов А.С.5984</v>
          </cell>
          <cell r="F766">
            <v>100</v>
          </cell>
        </row>
        <row r="767">
          <cell r="A767">
            <v>46041</v>
          </cell>
          <cell r="D767" t="str">
            <v>Оганов А.С.5984</v>
          </cell>
          <cell r="F767">
            <v>0</v>
          </cell>
        </row>
        <row r="768">
          <cell r="A768">
            <v>46039</v>
          </cell>
          <cell r="D768" t="str">
            <v>Виктория 2502</v>
          </cell>
          <cell r="F768">
            <v>980</v>
          </cell>
        </row>
        <row r="769">
          <cell r="A769">
            <v>46039</v>
          </cell>
          <cell r="D769" t="str">
            <v>Вероника 1996</v>
          </cell>
          <cell r="F769">
            <v>5000</v>
          </cell>
        </row>
        <row r="770">
          <cell r="A770">
            <v>46039</v>
          </cell>
          <cell r="D770" t="str">
            <v>Оганов А.С.0102</v>
          </cell>
          <cell r="F770">
            <v>4550</v>
          </cell>
        </row>
        <row r="771">
          <cell r="A771">
            <v>46039</v>
          </cell>
          <cell r="D771" t="str">
            <v>Оганов А.С.0102</v>
          </cell>
          <cell r="F771">
            <v>4200</v>
          </cell>
        </row>
        <row r="772">
          <cell r="A772">
            <v>46039</v>
          </cell>
          <cell r="D772" t="str">
            <v>Оганов А.С.0102</v>
          </cell>
          <cell r="F772">
            <v>5250</v>
          </cell>
        </row>
        <row r="773">
          <cell r="A773">
            <v>46039</v>
          </cell>
          <cell r="D773" t="str">
            <v>Оганов А.С.0102</v>
          </cell>
          <cell r="F773">
            <v>4200</v>
          </cell>
        </row>
        <row r="774">
          <cell r="A774">
            <v>46039</v>
          </cell>
          <cell r="D774" t="str">
            <v>Оганов А.С.0102</v>
          </cell>
          <cell r="F774">
            <v>3500</v>
          </cell>
        </row>
        <row r="775">
          <cell r="A775">
            <v>46039</v>
          </cell>
          <cell r="D775" t="str">
            <v>Оганов А.С.1505</v>
          </cell>
          <cell r="F775">
            <v>1390</v>
          </cell>
        </row>
        <row r="776">
          <cell r="A776">
            <v>46039</v>
          </cell>
          <cell r="D776" t="str">
            <v>Оганов А.С.0102</v>
          </cell>
          <cell r="F776">
            <v>1490</v>
          </cell>
        </row>
        <row r="777">
          <cell r="A777">
            <v>46039</v>
          </cell>
          <cell r="D777" t="str">
            <v>Виктория 2502</v>
          </cell>
          <cell r="F777">
            <v>2000</v>
          </cell>
        </row>
        <row r="778">
          <cell r="A778">
            <v>46039</v>
          </cell>
          <cell r="D778" t="str">
            <v>Виктория 2502</v>
          </cell>
          <cell r="F778">
            <v>690</v>
          </cell>
        </row>
        <row r="779">
          <cell r="A779">
            <v>46039</v>
          </cell>
          <cell r="D779" t="str">
            <v>Виктория 2502</v>
          </cell>
          <cell r="F779">
            <v>0</v>
          </cell>
        </row>
        <row r="780">
          <cell r="A780">
            <v>46039</v>
          </cell>
          <cell r="D780" t="str">
            <v>Виктория 2502</v>
          </cell>
          <cell r="F780">
            <v>950</v>
          </cell>
        </row>
        <row r="781">
          <cell r="A781">
            <v>46039</v>
          </cell>
          <cell r="D781" t="str">
            <v>Виктория 2502</v>
          </cell>
          <cell r="F781">
            <v>0</v>
          </cell>
        </row>
        <row r="782">
          <cell r="A782">
            <v>46039</v>
          </cell>
          <cell r="D782" t="str">
            <v>Виктория 2502</v>
          </cell>
          <cell r="F782">
            <v>0</v>
          </cell>
        </row>
        <row r="783">
          <cell r="A783">
            <v>46039</v>
          </cell>
          <cell r="D783" t="str">
            <v>Виктория 2502</v>
          </cell>
          <cell r="F783">
            <v>2590</v>
          </cell>
        </row>
        <row r="784">
          <cell r="A784">
            <v>46039</v>
          </cell>
          <cell r="D784" t="str">
            <v>Виктория 2502</v>
          </cell>
          <cell r="F784">
            <v>3000</v>
          </cell>
        </row>
        <row r="785">
          <cell r="A785">
            <v>46039</v>
          </cell>
          <cell r="D785" t="str">
            <v>Виктория 2502</v>
          </cell>
          <cell r="F785">
            <v>2490</v>
          </cell>
        </row>
        <row r="786">
          <cell r="A786">
            <v>46039</v>
          </cell>
          <cell r="D786" t="str">
            <v>Виктория 2502</v>
          </cell>
          <cell r="F786">
            <v>2000</v>
          </cell>
        </row>
        <row r="787">
          <cell r="A787">
            <v>46039</v>
          </cell>
          <cell r="D787" t="str">
            <v>Оганов А. С. 2106</v>
          </cell>
          <cell r="F787">
            <v>1490</v>
          </cell>
        </row>
        <row r="788">
          <cell r="A788">
            <v>46039</v>
          </cell>
          <cell r="D788" t="str">
            <v>Оганов А. С. 2106</v>
          </cell>
          <cell r="F788">
            <v>2000</v>
          </cell>
        </row>
        <row r="789">
          <cell r="A789">
            <v>46039</v>
          </cell>
          <cell r="D789" t="str">
            <v>Вероника 1996</v>
          </cell>
          <cell r="F789">
            <v>1000</v>
          </cell>
        </row>
        <row r="790">
          <cell r="A790">
            <v>46039</v>
          </cell>
          <cell r="D790" t="str">
            <v>Вероника 1996</v>
          </cell>
          <cell r="F790">
            <v>1000</v>
          </cell>
        </row>
        <row r="791">
          <cell r="A791">
            <v>46039</v>
          </cell>
          <cell r="D791" t="str">
            <v>Виктория 2502</v>
          </cell>
          <cell r="F791">
            <v>1380</v>
          </cell>
        </row>
        <row r="792">
          <cell r="A792">
            <v>46039</v>
          </cell>
          <cell r="D792" t="str">
            <v>Вероника 1996</v>
          </cell>
          <cell r="F792">
            <v>800</v>
          </cell>
        </row>
        <row r="793">
          <cell r="A793">
            <v>46039</v>
          </cell>
          <cell r="D793" t="str">
            <v>Вероника 1996</v>
          </cell>
          <cell r="F793">
            <v>500</v>
          </cell>
        </row>
        <row r="794">
          <cell r="A794">
            <v>46039</v>
          </cell>
          <cell r="D794" t="str">
            <v>Вероника 1996</v>
          </cell>
          <cell r="F794">
            <v>800</v>
          </cell>
        </row>
        <row r="795">
          <cell r="A795">
            <v>46039</v>
          </cell>
          <cell r="D795" t="str">
            <v>Виктория 2502</v>
          </cell>
          <cell r="F795">
            <v>0</v>
          </cell>
        </row>
        <row r="796">
          <cell r="A796">
            <v>46039</v>
          </cell>
          <cell r="D796" t="str">
            <v>Виктория 2502</v>
          </cell>
          <cell r="F796">
            <v>1390</v>
          </cell>
        </row>
        <row r="797">
          <cell r="A797">
            <v>46040</v>
          </cell>
          <cell r="D797" t="str">
            <v>Оганов А.С.0102</v>
          </cell>
          <cell r="F797">
            <v>2000</v>
          </cell>
        </row>
        <row r="798">
          <cell r="A798">
            <v>46040</v>
          </cell>
          <cell r="D798" t="str">
            <v>Екатерина 2201</v>
          </cell>
          <cell r="F798">
            <v>2750</v>
          </cell>
        </row>
        <row r="799">
          <cell r="A799">
            <v>46040</v>
          </cell>
          <cell r="D799" t="str">
            <v>Екатерина 2201</v>
          </cell>
          <cell r="F799">
            <v>0</v>
          </cell>
        </row>
        <row r="800">
          <cell r="A800">
            <v>46040</v>
          </cell>
          <cell r="D800" t="str">
            <v>Екатерина 2201</v>
          </cell>
          <cell r="F800">
            <v>0</v>
          </cell>
        </row>
        <row r="801">
          <cell r="A801">
            <v>46041</v>
          </cell>
          <cell r="D801" t="str">
            <v>Оганов А.С.7272</v>
          </cell>
          <cell r="F801">
            <v>900</v>
          </cell>
        </row>
        <row r="802">
          <cell r="A802">
            <v>46040</v>
          </cell>
          <cell r="D802" t="str">
            <v>Оганов А.С.1505</v>
          </cell>
          <cell r="F802">
            <v>780</v>
          </cell>
        </row>
        <row r="803">
          <cell r="A803">
            <v>46040</v>
          </cell>
          <cell r="D803" t="str">
            <v>Оганов А.С.1505</v>
          </cell>
          <cell r="F803">
            <v>4580</v>
          </cell>
        </row>
        <row r="804">
          <cell r="A804">
            <v>46040</v>
          </cell>
          <cell r="D804" t="str">
            <v>Вероника 1996</v>
          </cell>
          <cell r="F804">
            <v>2000</v>
          </cell>
        </row>
        <row r="805">
          <cell r="A805">
            <v>46040</v>
          </cell>
          <cell r="D805" t="str">
            <v>Оганов А.С.0102</v>
          </cell>
          <cell r="F805">
            <v>1490</v>
          </cell>
        </row>
        <row r="806">
          <cell r="A806">
            <v>46040</v>
          </cell>
          <cell r="D806" t="str">
            <v>Оганов А.С.5984</v>
          </cell>
          <cell r="F806">
            <v>3580</v>
          </cell>
        </row>
        <row r="807">
          <cell r="A807">
            <v>46040</v>
          </cell>
          <cell r="D807" t="str">
            <v>Оганов А.С.5984</v>
          </cell>
          <cell r="F807">
            <v>1280</v>
          </cell>
        </row>
        <row r="808">
          <cell r="A808">
            <v>46040</v>
          </cell>
          <cell r="D808" t="str">
            <v>Оганов А.С.5984</v>
          </cell>
          <cell r="F808">
            <v>2390</v>
          </cell>
        </row>
        <row r="809">
          <cell r="A809">
            <v>46040</v>
          </cell>
          <cell r="D809" t="str">
            <v>Екатерина 2201</v>
          </cell>
          <cell r="F809">
            <v>1350</v>
          </cell>
        </row>
        <row r="810">
          <cell r="A810">
            <v>46040</v>
          </cell>
          <cell r="D810" t="str">
            <v>Екатерина 2201</v>
          </cell>
          <cell r="F810">
            <v>2490</v>
          </cell>
        </row>
        <row r="811">
          <cell r="A811">
            <v>46040</v>
          </cell>
          <cell r="D811" t="str">
            <v>Екатерина 2201</v>
          </cell>
          <cell r="F811">
            <v>890</v>
          </cell>
        </row>
        <row r="812">
          <cell r="A812">
            <v>46040</v>
          </cell>
          <cell r="D812" t="str">
            <v>Екатерина 2201</v>
          </cell>
          <cell r="F812">
            <v>3000</v>
          </cell>
        </row>
        <row r="813">
          <cell r="A813">
            <v>46040</v>
          </cell>
          <cell r="D813" t="str">
            <v>Екатерина 2201</v>
          </cell>
          <cell r="F813">
            <v>1500</v>
          </cell>
        </row>
        <row r="814">
          <cell r="A814">
            <v>46040</v>
          </cell>
          <cell r="D814" t="str">
            <v>Екатерина 2201</v>
          </cell>
          <cell r="F814">
            <v>1350</v>
          </cell>
        </row>
        <row r="815">
          <cell r="A815">
            <v>46040</v>
          </cell>
          <cell r="D815" t="str">
            <v>Вероника 1996</v>
          </cell>
          <cell r="F815">
            <v>5000</v>
          </cell>
        </row>
        <row r="816">
          <cell r="A816">
            <v>46040</v>
          </cell>
          <cell r="D816" t="str">
            <v>Екатерина 2201</v>
          </cell>
          <cell r="F816">
            <v>1690</v>
          </cell>
        </row>
        <row r="817">
          <cell r="A817">
            <v>46040</v>
          </cell>
          <cell r="D817" t="str">
            <v>Екатерина 2201</v>
          </cell>
          <cell r="F817">
            <v>3000</v>
          </cell>
        </row>
        <row r="818">
          <cell r="A818">
            <v>46040</v>
          </cell>
          <cell r="D818" t="str">
            <v>Оганов А.С.0102</v>
          </cell>
          <cell r="F818">
            <v>400</v>
          </cell>
        </row>
        <row r="819">
          <cell r="A819">
            <v>46040</v>
          </cell>
          <cell r="D819" t="str">
            <v>Вероника 1996</v>
          </cell>
          <cell r="F819">
            <v>7000</v>
          </cell>
        </row>
        <row r="820">
          <cell r="A820">
            <v>46040</v>
          </cell>
          <cell r="D820" t="str">
            <v>Оганов А.С.5984</v>
          </cell>
          <cell r="F820">
            <v>1390</v>
          </cell>
        </row>
        <row r="821">
          <cell r="A821">
            <v>46040</v>
          </cell>
          <cell r="D821" t="str">
            <v>Оганов А.С.5984</v>
          </cell>
          <cell r="F821">
            <v>1390</v>
          </cell>
        </row>
        <row r="822">
          <cell r="A822">
            <v>46040</v>
          </cell>
          <cell r="D822" t="str">
            <v>Оганов А.С.5984</v>
          </cell>
          <cell r="F822">
            <v>1580</v>
          </cell>
        </row>
        <row r="823">
          <cell r="A823">
            <v>46040</v>
          </cell>
          <cell r="D823" t="str">
            <v>Вероника 1996</v>
          </cell>
          <cell r="F823">
            <v>5500</v>
          </cell>
        </row>
        <row r="824">
          <cell r="A824">
            <v>46040</v>
          </cell>
          <cell r="D824" t="str">
            <v>Оганов А.С.5984</v>
          </cell>
          <cell r="F824">
            <v>4000</v>
          </cell>
        </row>
        <row r="825">
          <cell r="A825">
            <v>46040</v>
          </cell>
          <cell r="D825" t="str">
            <v>Оганов А.С.5984</v>
          </cell>
          <cell r="F825">
            <v>5000</v>
          </cell>
        </row>
        <row r="826">
          <cell r="A826">
            <v>46040</v>
          </cell>
          <cell r="D826" t="str">
            <v>Оганов А.С.5984</v>
          </cell>
          <cell r="F826">
            <v>2090</v>
          </cell>
        </row>
        <row r="827">
          <cell r="A827">
            <v>46040</v>
          </cell>
          <cell r="D827" t="str">
            <v>Оганов А.С.5984</v>
          </cell>
          <cell r="F827">
            <v>1380</v>
          </cell>
        </row>
        <row r="828">
          <cell r="A828">
            <v>46040</v>
          </cell>
          <cell r="D828" t="str">
            <v>Оганов А.С.5984</v>
          </cell>
          <cell r="F828">
            <v>2000</v>
          </cell>
        </row>
        <row r="829">
          <cell r="A829">
            <v>46040</v>
          </cell>
          <cell r="D829" t="str">
            <v>Оганов А.С.5984</v>
          </cell>
          <cell r="F829">
            <v>1050</v>
          </cell>
        </row>
        <row r="830">
          <cell r="A830">
            <v>46040</v>
          </cell>
          <cell r="D830" t="str">
            <v>Оганов А.С.5984</v>
          </cell>
          <cell r="F830">
            <v>1500</v>
          </cell>
        </row>
        <row r="831">
          <cell r="A831">
            <v>46040</v>
          </cell>
          <cell r="D831" t="str">
            <v>Оганов А.С.5984</v>
          </cell>
          <cell r="F831">
            <v>500</v>
          </cell>
        </row>
        <row r="832">
          <cell r="A832">
            <v>46040</v>
          </cell>
          <cell r="D832" t="str">
            <v>Екатерина 2201</v>
          </cell>
          <cell r="F832">
            <v>1300</v>
          </cell>
        </row>
        <row r="833">
          <cell r="A833">
            <v>46040</v>
          </cell>
          <cell r="D833" t="str">
            <v>Оганов А.С.0102</v>
          </cell>
          <cell r="F833">
            <v>0</v>
          </cell>
        </row>
        <row r="834">
          <cell r="A834">
            <v>46040</v>
          </cell>
          <cell r="D834" t="str">
            <v>Оганов А.С.0102</v>
          </cell>
          <cell r="F834">
            <v>0</v>
          </cell>
        </row>
        <row r="835">
          <cell r="A835">
            <v>46040</v>
          </cell>
          <cell r="D835" t="str">
            <v>Екатерина 2201</v>
          </cell>
          <cell r="F835">
            <v>1290</v>
          </cell>
        </row>
        <row r="836">
          <cell r="A836">
            <v>46040</v>
          </cell>
          <cell r="D836" t="str">
            <v>Екатерина 2201</v>
          </cell>
          <cell r="F836">
            <v>2000</v>
          </cell>
        </row>
        <row r="837">
          <cell r="A837">
            <v>46040</v>
          </cell>
          <cell r="D837" t="str">
            <v>Оганов А.С.0102</v>
          </cell>
          <cell r="F837">
            <v>4000</v>
          </cell>
        </row>
        <row r="838">
          <cell r="A838">
            <v>46041</v>
          </cell>
          <cell r="D838" t="str">
            <v>Оганов А.С.1505</v>
          </cell>
          <cell r="F838">
            <v>8000</v>
          </cell>
        </row>
        <row r="839">
          <cell r="A839">
            <v>46041</v>
          </cell>
          <cell r="D839" t="str">
            <v>Оганов А.С.1505</v>
          </cell>
          <cell r="F839">
            <v>4000</v>
          </cell>
        </row>
        <row r="840">
          <cell r="A840">
            <v>46041</v>
          </cell>
          <cell r="D840" t="str">
            <v>Оганов А.С.1505</v>
          </cell>
          <cell r="F840">
            <v>0</v>
          </cell>
        </row>
        <row r="841">
          <cell r="A841">
            <v>46041</v>
          </cell>
          <cell r="D841" t="str">
            <v>Оганов А.С.1505</v>
          </cell>
          <cell r="F841">
            <v>2990</v>
          </cell>
        </row>
        <row r="842">
          <cell r="A842">
            <v>46040</v>
          </cell>
          <cell r="D842" t="str">
            <v>Екатерина 2201</v>
          </cell>
          <cell r="F842">
            <v>200</v>
          </cell>
        </row>
        <row r="843">
          <cell r="A843">
            <v>46040</v>
          </cell>
          <cell r="D843" t="str">
            <v>Екатерина 2201</v>
          </cell>
          <cell r="F843">
            <v>690</v>
          </cell>
        </row>
        <row r="844">
          <cell r="A844">
            <v>46040</v>
          </cell>
          <cell r="D844" t="str">
            <v>Оганов А.С.1505</v>
          </cell>
          <cell r="F844">
            <v>690</v>
          </cell>
        </row>
        <row r="845">
          <cell r="A845">
            <v>46040</v>
          </cell>
          <cell r="D845" t="str">
            <v>Оганов А.С.1505</v>
          </cell>
          <cell r="F845">
            <v>690</v>
          </cell>
        </row>
        <row r="846">
          <cell r="A846">
            <v>46040</v>
          </cell>
          <cell r="D846" t="str">
            <v>Екатерина 2201</v>
          </cell>
          <cell r="F846">
            <v>6240</v>
          </cell>
        </row>
        <row r="847">
          <cell r="A847">
            <v>46040</v>
          </cell>
          <cell r="D847" t="str">
            <v>Оганов А.С.0102</v>
          </cell>
          <cell r="F847">
            <v>2980</v>
          </cell>
        </row>
        <row r="848">
          <cell r="A848">
            <v>46040</v>
          </cell>
          <cell r="D848" t="str">
            <v>Екатерина 2201</v>
          </cell>
          <cell r="F848">
            <v>1350</v>
          </cell>
        </row>
        <row r="849">
          <cell r="A849">
            <v>46040</v>
          </cell>
          <cell r="D849" t="str">
            <v>Екатерина 2201</v>
          </cell>
          <cell r="F849">
            <v>2490</v>
          </cell>
        </row>
        <row r="850">
          <cell r="A850">
            <v>46040</v>
          </cell>
          <cell r="D850" t="str">
            <v>Екатерина 2201</v>
          </cell>
          <cell r="F850">
            <v>1490</v>
          </cell>
        </row>
        <row r="851">
          <cell r="A851">
            <v>46040</v>
          </cell>
          <cell r="D851" t="str">
            <v>Оганов А.С.1505</v>
          </cell>
          <cell r="F851">
            <v>2290</v>
          </cell>
        </row>
        <row r="852">
          <cell r="A852">
            <v>46040</v>
          </cell>
          <cell r="D852" t="str">
            <v>Оганов А.С.1505</v>
          </cell>
          <cell r="F852">
            <v>0</v>
          </cell>
        </row>
        <row r="853">
          <cell r="A853">
            <v>46040</v>
          </cell>
          <cell r="D853" t="str">
            <v>Оганов А.С.0102</v>
          </cell>
          <cell r="F853">
            <v>5000</v>
          </cell>
        </row>
        <row r="854">
          <cell r="A854">
            <v>46041</v>
          </cell>
          <cell r="D854" t="str">
            <v>Оганов А.С.3007</v>
          </cell>
          <cell r="F854">
            <v>690</v>
          </cell>
        </row>
        <row r="855">
          <cell r="A855">
            <v>46040</v>
          </cell>
          <cell r="D855" t="str">
            <v>Оганов А.С.5984</v>
          </cell>
          <cell r="F855">
            <v>1050</v>
          </cell>
        </row>
        <row r="856">
          <cell r="A856">
            <v>46040</v>
          </cell>
          <cell r="D856" t="str">
            <v>Екатерина 2201</v>
          </cell>
          <cell r="F856">
            <v>1380</v>
          </cell>
        </row>
        <row r="857">
          <cell r="A857">
            <v>46040</v>
          </cell>
          <cell r="D857" t="str">
            <v>Вероника 1996</v>
          </cell>
          <cell r="F857">
            <v>1500</v>
          </cell>
        </row>
        <row r="858">
          <cell r="A858">
            <v>46040</v>
          </cell>
          <cell r="D858" t="str">
            <v>Вероника 1996</v>
          </cell>
          <cell r="F858">
            <v>1390</v>
          </cell>
        </row>
        <row r="859">
          <cell r="A859">
            <v>46040</v>
          </cell>
          <cell r="D859" t="str">
            <v>Екатерина 2201</v>
          </cell>
          <cell r="F859">
            <v>2860</v>
          </cell>
        </row>
        <row r="860">
          <cell r="A860">
            <v>46040</v>
          </cell>
          <cell r="D860" t="str">
            <v>Екатерина 2201</v>
          </cell>
          <cell r="F860">
            <v>2500</v>
          </cell>
        </row>
        <row r="861">
          <cell r="A861">
            <v>46040</v>
          </cell>
          <cell r="D861" t="str">
            <v>Оганов А.С.0102</v>
          </cell>
          <cell r="F861">
            <v>5000</v>
          </cell>
        </row>
        <row r="862">
          <cell r="A862">
            <v>46040</v>
          </cell>
          <cell r="D862" t="str">
            <v>Оганов А.С.0102</v>
          </cell>
          <cell r="F862">
            <v>1490</v>
          </cell>
        </row>
        <row r="863">
          <cell r="A863">
            <v>46040</v>
          </cell>
          <cell r="D863" t="str">
            <v>Оганов А.С.0102</v>
          </cell>
          <cell r="F863">
            <v>5000</v>
          </cell>
        </row>
        <row r="864">
          <cell r="A864">
            <v>46040</v>
          </cell>
          <cell r="D864" t="str">
            <v>Оганов А.С.0102</v>
          </cell>
          <cell r="F864">
            <v>1500</v>
          </cell>
        </row>
        <row r="865">
          <cell r="A865">
            <v>46040</v>
          </cell>
          <cell r="D865" t="str">
            <v>Оганов А.С.0102</v>
          </cell>
          <cell r="F865">
            <v>1500</v>
          </cell>
        </row>
        <row r="866">
          <cell r="A866">
            <v>46040</v>
          </cell>
          <cell r="D866" t="str">
            <v>Оганов А.С.0102</v>
          </cell>
          <cell r="F866">
            <v>0</v>
          </cell>
        </row>
        <row r="867">
          <cell r="A867">
            <v>46040</v>
          </cell>
          <cell r="D867" t="str">
            <v>Оганов А.С.0102</v>
          </cell>
          <cell r="F867">
            <v>1500</v>
          </cell>
        </row>
        <row r="868">
          <cell r="A868">
            <v>46040</v>
          </cell>
          <cell r="D868" t="str">
            <v>Оганов А.С.0102</v>
          </cell>
          <cell r="F868">
            <v>5000</v>
          </cell>
        </row>
        <row r="869">
          <cell r="A869">
            <v>46040</v>
          </cell>
          <cell r="D869" t="str">
            <v>Оганов А.С.0102</v>
          </cell>
          <cell r="F869">
            <v>5000</v>
          </cell>
        </row>
        <row r="870">
          <cell r="A870">
            <v>46040</v>
          </cell>
          <cell r="D870" t="str">
            <v>Оганов А.С.0102</v>
          </cell>
          <cell r="F870">
            <v>1500</v>
          </cell>
        </row>
        <row r="871">
          <cell r="A871">
            <v>46040</v>
          </cell>
          <cell r="D871" t="str">
            <v>Оганов А.С.5984</v>
          </cell>
          <cell r="F871">
            <v>1490</v>
          </cell>
        </row>
        <row r="872">
          <cell r="A872">
            <v>46040</v>
          </cell>
          <cell r="D872" t="str">
            <v>Оганов А.С.5984</v>
          </cell>
          <cell r="F872">
            <v>2682</v>
          </cell>
        </row>
        <row r="873">
          <cell r="A873">
            <v>46040</v>
          </cell>
          <cell r="D873" t="str">
            <v>Оганов А.С.5984</v>
          </cell>
          <cell r="F873">
            <v>13000</v>
          </cell>
        </row>
        <row r="874">
          <cell r="A874">
            <v>46040</v>
          </cell>
          <cell r="D874" t="str">
            <v>Оганов А.С.5984</v>
          </cell>
          <cell r="F874">
            <v>5000</v>
          </cell>
        </row>
        <row r="875">
          <cell r="A875">
            <v>46040</v>
          </cell>
          <cell r="D875" t="str">
            <v>Оганов А.С.5984</v>
          </cell>
          <cell r="F875">
            <v>6000</v>
          </cell>
        </row>
        <row r="876">
          <cell r="A876">
            <v>46040</v>
          </cell>
          <cell r="D876" t="str">
            <v>Оганов А.С.5984</v>
          </cell>
          <cell r="F876">
            <v>0</v>
          </cell>
        </row>
        <row r="877">
          <cell r="A877">
            <v>46040</v>
          </cell>
          <cell r="D877" t="str">
            <v>Оганов А.С.5984</v>
          </cell>
          <cell r="F877">
            <v>0</v>
          </cell>
        </row>
        <row r="878">
          <cell r="A878">
            <v>46040</v>
          </cell>
          <cell r="D878" t="str">
            <v>Екатерина 2201</v>
          </cell>
          <cell r="F878">
            <v>700</v>
          </cell>
        </row>
        <row r="879">
          <cell r="A879">
            <v>46041</v>
          </cell>
          <cell r="D879" t="str">
            <v>Оганов А.С.7272</v>
          </cell>
          <cell r="F879">
            <v>7000</v>
          </cell>
        </row>
        <row r="880">
          <cell r="A880">
            <v>46040</v>
          </cell>
          <cell r="D880" t="str">
            <v>Оганов А.С.5984</v>
          </cell>
          <cell r="F880">
            <v>2490</v>
          </cell>
        </row>
        <row r="881">
          <cell r="A881">
            <v>46040</v>
          </cell>
          <cell r="D881" t="str">
            <v>Оганов А.С.5984</v>
          </cell>
          <cell r="F881">
            <v>1949</v>
          </cell>
        </row>
        <row r="882">
          <cell r="A882">
            <v>46040</v>
          </cell>
          <cell r="D882" t="str">
            <v>Оганов А.С.5984</v>
          </cell>
          <cell r="F882">
            <v>2690</v>
          </cell>
        </row>
        <row r="883">
          <cell r="A883">
            <v>46040</v>
          </cell>
          <cell r="D883" t="str">
            <v>Оганов А.С.5984</v>
          </cell>
          <cell r="F883">
            <v>2500</v>
          </cell>
        </row>
        <row r="884">
          <cell r="A884">
            <v>46040</v>
          </cell>
          <cell r="D884" t="str">
            <v>Екатерина 2201</v>
          </cell>
          <cell r="F884">
            <v>4000</v>
          </cell>
        </row>
        <row r="885">
          <cell r="A885">
            <v>46040</v>
          </cell>
          <cell r="D885" t="str">
            <v>Екатерина 2201</v>
          </cell>
          <cell r="F885">
            <v>0</v>
          </cell>
        </row>
        <row r="886">
          <cell r="A886">
            <v>46040</v>
          </cell>
          <cell r="D886" t="str">
            <v>Екатерина 2201</v>
          </cell>
          <cell r="F886">
            <v>1780</v>
          </cell>
        </row>
        <row r="887">
          <cell r="A887">
            <v>46041</v>
          </cell>
          <cell r="D887" t="str">
            <v>Оганов А.С.5984</v>
          </cell>
          <cell r="F887">
            <v>7000</v>
          </cell>
        </row>
        <row r="888">
          <cell r="A888">
            <v>46041</v>
          </cell>
          <cell r="D888" t="str">
            <v>Екатерина 2201</v>
          </cell>
          <cell r="F888">
            <v>1280</v>
          </cell>
        </row>
        <row r="889">
          <cell r="A889">
            <v>46041</v>
          </cell>
          <cell r="D889" t="str">
            <v>Оганов А.С.3007</v>
          </cell>
          <cell r="F889">
            <v>1390</v>
          </cell>
        </row>
        <row r="890">
          <cell r="A890">
            <v>46041</v>
          </cell>
          <cell r="D890" t="str">
            <v>Оганов А.С.3007</v>
          </cell>
          <cell r="F890">
            <v>1390</v>
          </cell>
        </row>
        <row r="891">
          <cell r="A891">
            <v>46041</v>
          </cell>
          <cell r="D891" t="str">
            <v>Оганов А.С.3007</v>
          </cell>
          <cell r="F891">
            <v>500</v>
          </cell>
        </row>
        <row r="892">
          <cell r="A892">
            <v>46041</v>
          </cell>
          <cell r="D892" t="str">
            <v>Оганов А.С.1505</v>
          </cell>
          <cell r="F892">
            <v>2690</v>
          </cell>
        </row>
        <row r="893">
          <cell r="A893">
            <v>46041</v>
          </cell>
          <cell r="D893" t="str">
            <v>Оганов А.С.1505</v>
          </cell>
          <cell r="F893">
            <v>4500</v>
          </cell>
        </row>
        <row r="894">
          <cell r="A894">
            <v>46041</v>
          </cell>
          <cell r="D894" t="str">
            <v>Оганов А.С.1505</v>
          </cell>
          <cell r="F894">
            <v>7160</v>
          </cell>
        </row>
        <row r="895">
          <cell r="A895">
            <v>46041</v>
          </cell>
          <cell r="D895" t="str">
            <v>Оганов А.С.7272</v>
          </cell>
          <cell r="F895">
            <v>5500</v>
          </cell>
        </row>
        <row r="896">
          <cell r="A896">
            <v>46041</v>
          </cell>
          <cell r="D896" t="str">
            <v>Оганов А.С.7272</v>
          </cell>
          <cell r="F896">
            <v>950</v>
          </cell>
        </row>
        <row r="897">
          <cell r="A897">
            <v>46041</v>
          </cell>
          <cell r="D897" t="str">
            <v>Оганов А.С.7272</v>
          </cell>
          <cell r="F897">
            <v>2290</v>
          </cell>
        </row>
        <row r="898">
          <cell r="A898">
            <v>46041</v>
          </cell>
          <cell r="D898" t="str">
            <v>Оганов А.С.7272</v>
          </cell>
          <cell r="F898">
            <v>875</v>
          </cell>
        </row>
        <row r="899">
          <cell r="A899">
            <v>46041</v>
          </cell>
          <cell r="D899" t="str">
            <v>Оганов А.С.7272</v>
          </cell>
          <cell r="F899">
            <v>2290</v>
          </cell>
        </row>
        <row r="900">
          <cell r="A900">
            <v>46041</v>
          </cell>
          <cell r="D900" t="str">
            <v>Любовь 1302</v>
          </cell>
          <cell r="F900">
            <v>0</v>
          </cell>
        </row>
        <row r="901">
          <cell r="A901">
            <v>46041</v>
          </cell>
          <cell r="D901" t="str">
            <v>Любовь 1302</v>
          </cell>
          <cell r="F901">
            <v>2980</v>
          </cell>
        </row>
        <row r="902">
          <cell r="A902">
            <v>46041</v>
          </cell>
          <cell r="D902" t="str">
            <v>Любовь 1302</v>
          </cell>
          <cell r="F902">
            <v>2590</v>
          </cell>
        </row>
        <row r="903">
          <cell r="A903">
            <v>46041</v>
          </cell>
          <cell r="D903" t="str">
            <v>Любовь 1302</v>
          </cell>
          <cell r="F903">
            <v>1580</v>
          </cell>
        </row>
        <row r="904">
          <cell r="A904">
            <v>46041</v>
          </cell>
          <cell r="D904" t="str">
            <v>Любовь 1302</v>
          </cell>
          <cell r="F904">
            <v>2500</v>
          </cell>
        </row>
        <row r="905">
          <cell r="A905">
            <v>46041</v>
          </cell>
          <cell r="D905" t="str">
            <v>Любовь 1302</v>
          </cell>
          <cell r="F905">
            <v>1500</v>
          </cell>
        </row>
        <row r="906">
          <cell r="A906">
            <v>46041</v>
          </cell>
          <cell r="D906" t="str">
            <v>Оганов А.С.3007</v>
          </cell>
          <cell r="F906">
            <v>1300</v>
          </cell>
        </row>
        <row r="907">
          <cell r="A907">
            <v>46041</v>
          </cell>
          <cell r="D907" t="str">
            <v>Оганов А.С.3007</v>
          </cell>
          <cell r="F907">
            <v>700</v>
          </cell>
        </row>
        <row r="908">
          <cell r="A908">
            <v>46041</v>
          </cell>
          <cell r="D908" t="str">
            <v>Оганов А.С.3007</v>
          </cell>
          <cell r="F908">
            <v>2080</v>
          </cell>
        </row>
        <row r="909">
          <cell r="A909">
            <v>46041</v>
          </cell>
          <cell r="D909" t="str">
            <v>Оганов А.С.3007</v>
          </cell>
          <cell r="F909">
            <v>1490</v>
          </cell>
        </row>
        <row r="910">
          <cell r="A910">
            <v>46041</v>
          </cell>
          <cell r="D910" t="str">
            <v>Оганов А.С.3007</v>
          </cell>
          <cell r="F910">
            <v>1580</v>
          </cell>
        </row>
        <row r="911">
          <cell r="A911">
            <v>46041</v>
          </cell>
          <cell r="D911" t="str">
            <v>Оганов А.С.3007</v>
          </cell>
          <cell r="F911">
            <v>5000</v>
          </cell>
        </row>
        <row r="912">
          <cell r="A912">
            <v>46041</v>
          </cell>
          <cell r="D912" t="str">
            <v>Оганов А.С.3007</v>
          </cell>
          <cell r="F912">
            <v>2000</v>
          </cell>
        </row>
        <row r="913">
          <cell r="A913">
            <v>46041</v>
          </cell>
          <cell r="D913" t="str">
            <v>Оганов А.С.3007</v>
          </cell>
          <cell r="F913">
            <v>2000</v>
          </cell>
        </row>
        <row r="914">
          <cell r="A914">
            <v>46041</v>
          </cell>
          <cell r="D914" t="str">
            <v>Оганов А.С.3007</v>
          </cell>
          <cell r="F914">
            <v>490</v>
          </cell>
        </row>
        <row r="915">
          <cell r="A915">
            <v>46041</v>
          </cell>
          <cell r="D915" t="str">
            <v>Екатерина 2201</v>
          </cell>
          <cell r="F915">
            <v>3000</v>
          </cell>
        </row>
        <row r="916">
          <cell r="A916">
            <v>46041</v>
          </cell>
          <cell r="D916" t="str">
            <v>Екатерина 2201</v>
          </cell>
          <cell r="F916">
            <v>1490</v>
          </cell>
        </row>
        <row r="917">
          <cell r="A917">
            <v>46041</v>
          </cell>
          <cell r="D917" t="str">
            <v>Екатерина 2201</v>
          </cell>
          <cell r="F917">
            <v>690</v>
          </cell>
        </row>
        <row r="918">
          <cell r="A918">
            <v>46041</v>
          </cell>
          <cell r="D918" t="str">
            <v>Екатерина 2201</v>
          </cell>
          <cell r="F918">
            <v>2590</v>
          </cell>
        </row>
        <row r="919">
          <cell r="A919">
            <v>46041</v>
          </cell>
          <cell r="D919" t="str">
            <v>Екатерина 2201</v>
          </cell>
          <cell r="F919">
            <v>1190</v>
          </cell>
        </row>
        <row r="920">
          <cell r="A920">
            <v>46041</v>
          </cell>
          <cell r="D920" t="str">
            <v>Оганов А.С.5984</v>
          </cell>
          <cell r="F920">
            <v>5500</v>
          </cell>
        </row>
        <row r="921">
          <cell r="A921">
            <v>46041</v>
          </cell>
          <cell r="D921" t="str">
            <v>Екатерина 2201</v>
          </cell>
          <cell r="F921">
            <v>790</v>
          </cell>
        </row>
        <row r="922">
          <cell r="A922">
            <v>46045</v>
          </cell>
          <cell r="D922" t="str">
            <v>Екатерина 2201</v>
          </cell>
          <cell r="F922">
            <v>990</v>
          </cell>
        </row>
        <row r="923">
          <cell r="A923">
            <v>46045</v>
          </cell>
          <cell r="D923" t="str">
            <v>Екатерина 2201</v>
          </cell>
          <cell r="F923">
            <v>1580</v>
          </cell>
        </row>
        <row r="924">
          <cell r="A924">
            <v>46043</v>
          </cell>
          <cell r="D924" t="str">
            <v>Виктория 2502</v>
          </cell>
          <cell r="F924">
            <v>4500</v>
          </cell>
        </row>
        <row r="925">
          <cell r="A925">
            <v>46041</v>
          </cell>
          <cell r="D925" t="str">
            <v>Любовь 1302</v>
          </cell>
          <cell r="F925">
            <v>4500</v>
          </cell>
        </row>
        <row r="926">
          <cell r="A926">
            <v>46041</v>
          </cell>
          <cell r="D926" t="str">
            <v>Оганов А.С.7272</v>
          </cell>
          <cell r="F926">
            <v>1380</v>
          </cell>
        </row>
        <row r="927">
          <cell r="A927">
            <v>46041</v>
          </cell>
          <cell r="D927" t="str">
            <v>Оганов А.С.7272</v>
          </cell>
          <cell r="F927">
            <v>690</v>
          </cell>
        </row>
        <row r="928">
          <cell r="A928">
            <v>46041</v>
          </cell>
          <cell r="D928" t="str">
            <v>Любовь 1302</v>
          </cell>
          <cell r="F928">
            <v>690</v>
          </cell>
        </row>
        <row r="929">
          <cell r="A929">
            <v>46041</v>
          </cell>
          <cell r="D929" t="str">
            <v>Любовь 1302</v>
          </cell>
          <cell r="F929">
            <v>1490</v>
          </cell>
        </row>
        <row r="930">
          <cell r="A930">
            <v>46041</v>
          </cell>
          <cell r="D930" t="str">
            <v>Любовь 1302</v>
          </cell>
          <cell r="F930">
            <v>2590</v>
          </cell>
        </row>
        <row r="931">
          <cell r="A931">
            <v>46041</v>
          </cell>
          <cell r="D931" t="str">
            <v>Любовь 1302</v>
          </cell>
          <cell r="F931">
            <v>2390</v>
          </cell>
        </row>
        <row r="932">
          <cell r="A932">
            <v>46041</v>
          </cell>
          <cell r="D932" t="str">
            <v>Любовь 1302</v>
          </cell>
          <cell r="F932">
            <v>1110</v>
          </cell>
        </row>
        <row r="933">
          <cell r="A933">
            <v>46041</v>
          </cell>
          <cell r="D933" t="str">
            <v>Екатерина 2201</v>
          </cell>
          <cell r="F933">
            <v>1690</v>
          </cell>
        </row>
        <row r="934">
          <cell r="A934">
            <v>46041</v>
          </cell>
          <cell r="D934" t="str">
            <v>Екатерина 2201</v>
          </cell>
          <cell r="F934">
            <v>4780</v>
          </cell>
        </row>
        <row r="935">
          <cell r="A935">
            <v>46041</v>
          </cell>
          <cell r="D935" t="str">
            <v>Екатерина 2201</v>
          </cell>
          <cell r="F935">
            <v>4500</v>
          </cell>
        </row>
        <row r="936">
          <cell r="A936">
            <v>46041</v>
          </cell>
          <cell r="D936" t="str">
            <v>Екатерина 2201</v>
          </cell>
          <cell r="F936">
            <v>2500</v>
          </cell>
        </row>
        <row r="937">
          <cell r="A937">
            <v>46041</v>
          </cell>
          <cell r="D937" t="str">
            <v>Екатерина 2201</v>
          </cell>
          <cell r="F937">
            <v>300</v>
          </cell>
        </row>
        <row r="938">
          <cell r="A938">
            <v>46045</v>
          </cell>
          <cell r="D938" t="str">
            <v>Екатерина 2201</v>
          </cell>
          <cell r="F938">
            <v>1200</v>
          </cell>
        </row>
        <row r="939">
          <cell r="A939">
            <v>46041</v>
          </cell>
          <cell r="D939" t="str">
            <v>Екатерина 2201</v>
          </cell>
          <cell r="F939">
            <v>690</v>
          </cell>
        </row>
        <row r="940">
          <cell r="A940">
            <v>46041</v>
          </cell>
          <cell r="D940" t="str">
            <v>Екатерина 2201</v>
          </cell>
          <cell r="F940">
            <v>2500</v>
          </cell>
        </row>
        <row r="941">
          <cell r="A941">
            <v>46041</v>
          </cell>
          <cell r="D941" t="str">
            <v>Екатерина 2201</v>
          </cell>
          <cell r="F941">
            <v>0</v>
          </cell>
        </row>
        <row r="942">
          <cell r="A942">
            <v>46041</v>
          </cell>
          <cell r="D942" t="str">
            <v>Оганов А.С.7272</v>
          </cell>
          <cell r="F942">
            <v>12000</v>
          </cell>
        </row>
        <row r="943">
          <cell r="A943">
            <v>46042</v>
          </cell>
          <cell r="D943" t="str">
            <v>Оганов А.С.7272</v>
          </cell>
          <cell r="F943">
            <v>1790</v>
          </cell>
        </row>
        <row r="944">
          <cell r="A944">
            <v>46042</v>
          </cell>
          <cell r="D944" t="str">
            <v>Виктория 2502</v>
          </cell>
          <cell r="F944">
            <v>580</v>
          </cell>
        </row>
        <row r="945">
          <cell r="A945">
            <v>46042</v>
          </cell>
          <cell r="D945" t="str">
            <v>Оганов А.С.3007</v>
          </cell>
          <cell r="F945">
            <v>2290</v>
          </cell>
        </row>
        <row r="946">
          <cell r="A946">
            <v>46042</v>
          </cell>
          <cell r="D946" t="str">
            <v>Оганов А.С.3007</v>
          </cell>
          <cell r="F946">
            <v>2290</v>
          </cell>
        </row>
        <row r="947">
          <cell r="A947">
            <v>46042</v>
          </cell>
          <cell r="D947" t="str">
            <v>Оганов А.С.3007</v>
          </cell>
          <cell r="F947">
            <v>2290</v>
          </cell>
        </row>
        <row r="948">
          <cell r="A948">
            <v>46042</v>
          </cell>
          <cell r="D948" t="str">
            <v>Оганов А.С.3007</v>
          </cell>
          <cell r="F948">
            <v>2290</v>
          </cell>
        </row>
        <row r="949">
          <cell r="A949">
            <v>46042</v>
          </cell>
          <cell r="D949" t="str">
            <v>Оганов А.С.3007</v>
          </cell>
          <cell r="F949">
            <v>1790</v>
          </cell>
        </row>
        <row r="950">
          <cell r="A950">
            <v>46042</v>
          </cell>
          <cell r="D950" t="str">
            <v>Оганов А.С.0102</v>
          </cell>
          <cell r="F950">
            <v>2860</v>
          </cell>
        </row>
        <row r="951">
          <cell r="A951">
            <v>46042</v>
          </cell>
          <cell r="D951" t="str">
            <v>Оганов А.С.0102</v>
          </cell>
          <cell r="F951">
            <v>2590</v>
          </cell>
        </row>
        <row r="952">
          <cell r="A952">
            <v>46042</v>
          </cell>
          <cell r="D952" t="str">
            <v>Оганов А.С.0102</v>
          </cell>
          <cell r="F952">
            <v>3000</v>
          </cell>
        </row>
        <row r="953">
          <cell r="A953">
            <v>46042</v>
          </cell>
          <cell r="D953" t="str">
            <v>Оганов А.С.0102</v>
          </cell>
          <cell r="F953">
            <v>1390</v>
          </cell>
        </row>
        <row r="954">
          <cell r="A954">
            <v>46042</v>
          </cell>
          <cell r="D954" t="str">
            <v>Оганов А.С.0102</v>
          </cell>
          <cell r="F954">
            <v>0</v>
          </cell>
        </row>
        <row r="955">
          <cell r="A955">
            <v>46042</v>
          </cell>
          <cell r="D955" t="str">
            <v>Оганов А.С.0102</v>
          </cell>
          <cell r="F955">
            <v>780</v>
          </cell>
        </row>
        <row r="956">
          <cell r="A956">
            <v>46042</v>
          </cell>
          <cell r="D956" t="str">
            <v>Оганов А.С.0102</v>
          </cell>
          <cell r="F956">
            <v>5500</v>
          </cell>
        </row>
        <row r="957">
          <cell r="A957">
            <v>46042</v>
          </cell>
          <cell r="D957" t="str">
            <v>Оганов А.С.0102</v>
          </cell>
          <cell r="F957">
            <v>200</v>
          </cell>
        </row>
        <row r="958">
          <cell r="A958">
            <v>46042</v>
          </cell>
          <cell r="D958" t="str">
            <v>Оганов А.С.0102</v>
          </cell>
          <cell r="F958">
            <v>200</v>
          </cell>
        </row>
        <row r="959">
          <cell r="A959">
            <v>46042</v>
          </cell>
          <cell r="D959" t="str">
            <v>Оганов А.С.0102</v>
          </cell>
          <cell r="F959">
            <v>2750</v>
          </cell>
        </row>
        <row r="960">
          <cell r="A960">
            <v>46042</v>
          </cell>
          <cell r="D960" t="str">
            <v>Оганов А.С.3007</v>
          </cell>
          <cell r="F960">
            <v>4780</v>
          </cell>
        </row>
        <row r="961">
          <cell r="A961">
            <v>46042</v>
          </cell>
          <cell r="D961" t="str">
            <v>Оганов А.С.3007</v>
          </cell>
          <cell r="F961">
            <v>2500</v>
          </cell>
        </row>
        <row r="962">
          <cell r="A962">
            <v>46042</v>
          </cell>
          <cell r="D962" t="str">
            <v>Оганов А.С.3007</v>
          </cell>
          <cell r="F962">
            <v>3498</v>
          </cell>
        </row>
        <row r="963">
          <cell r="A963">
            <v>46042</v>
          </cell>
          <cell r="D963" t="str">
            <v>Оганов А.С.3007</v>
          </cell>
          <cell r="F963">
            <v>2500</v>
          </cell>
        </row>
        <row r="964">
          <cell r="A964">
            <v>46042</v>
          </cell>
          <cell r="D964" t="str">
            <v>Виктория 2502</v>
          </cell>
          <cell r="F964">
            <v>2690</v>
          </cell>
        </row>
        <row r="965">
          <cell r="A965">
            <v>46042</v>
          </cell>
          <cell r="D965" t="str">
            <v>Оганов А.С.0102</v>
          </cell>
          <cell r="F965">
            <v>2690</v>
          </cell>
        </row>
        <row r="966">
          <cell r="A966">
            <v>46042</v>
          </cell>
          <cell r="D966" t="str">
            <v>Оганов А.С.0102</v>
          </cell>
          <cell r="F966">
            <v>3000</v>
          </cell>
        </row>
        <row r="967">
          <cell r="A967">
            <v>46042</v>
          </cell>
          <cell r="D967" t="str">
            <v>Оганов А.С.0102</v>
          </cell>
          <cell r="F967">
            <v>1050</v>
          </cell>
        </row>
        <row r="968">
          <cell r="A968">
            <v>46042</v>
          </cell>
          <cell r="D968" t="str">
            <v>Оганов А.С.0102</v>
          </cell>
          <cell r="F968">
            <v>1290</v>
          </cell>
        </row>
        <row r="969">
          <cell r="A969">
            <v>46042</v>
          </cell>
          <cell r="D969" t="str">
            <v>Оганов А.С.7272</v>
          </cell>
          <cell r="F969">
            <v>1350</v>
          </cell>
        </row>
        <row r="970">
          <cell r="A970">
            <v>46042</v>
          </cell>
          <cell r="D970" t="str">
            <v>Оганов А.С.0102</v>
          </cell>
          <cell r="F970">
            <v>690</v>
          </cell>
        </row>
        <row r="971">
          <cell r="A971">
            <v>46042</v>
          </cell>
          <cell r="D971" t="str">
            <v>Оганов А.С.3007</v>
          </cell>
          <cell r="F971">
            <v>2490</v>
          </cell>
        </row>
        <row r="972">
          <cell r="A972">
            <v>46042</v>
          </cell>
          <cell r="D972" t="str">
            <v>Оганов А.С.0102</v>
          </cell>
          <cell r="F972">
            <v>7000</v>
          </cell>
        </row>
        <row r="973">
          <cell r="A973">
            <v>46042</v>
          </cell>
          <cell r="D973" t="str">
            <v>Оганов А.С.2404</v>
          </cell>
          <cell r="F973">
            <v>6000</v>
          </cell>
        </row>
        <row r="974">
          <cell r="A974">
            <v>46042</v>
          </cell>
          <cell r="D974" t="str">
            <v>Оганов А. С. 2106</v>
          </cell>
          <cell r="F974">
            <v>0</v>
          </cell>
        </row>
        <row r="975">
          <cell r="A975">
            <v>46042</v>
          </cell>
          <cell r="D975" t="str">
            <v>Оганов А. С. 2106</v>
          </cell>
          <cell r="F975">
            <v>4790</v>
          </cell>
        </row>
        <row r="976">
          <cell r="A976">
            <v>46042</v>
          </cell>
          <cell r="D976" t="str">
            <v>Оганов А. С. 2106</v>
          </cell>
          <cell r="F976">
            <v>3800</v>
          </cell>
        </row>
        <row r="977">
          <cell r="A977">
            <v>46042</v>
          </cell>
          <cell r="D977" t="str">
            <v>Оганов А.С.7272</v>
          </cell>
          <cell r="F977">
            <v>5500</v>
          </cell>
        </row>
        <row r="978">
          <cell r="A978">
            <v>46042</v>
          </cell>
          <cell r="D978" t="str">
            <v>Оганов А.С.7272</v>
          </cell>
          <cell r="F978">
            <v>1490</v>
          </cell>
        </row>
        <row r="979">
          <cell r="A979">
            <v>46042</v>
          </cell>
          <cell r="D979" t="str">
            <v>Оганов А.С.7272</v>
          </cell>
          <cell r="F979">
            <v>3000</v>
          </cell>
        </row>
        <row r="980">
          <cell r="A980">
            <v>46042</v>
          </cell>
          <cell r="D980" t="str">
            <v>Оганов А.С.7272</v>
          </cell>
          <cell r="F980">
            <v>4500</v>
          </cell>
        </row>
        <row r="981">
          <cell r="A981">
            <v>46042</v>
          </cell>
          <cell r="D981" t="str">
            <v>Оганов А.С.7272</v>
          </cell>
          <cell r="F981">
            <v>2980</v>
          </cell>
        </row>
        <row r="982">
          <cell r="A982">
            <v>46042</v>
          </cell>
          <cell r="D982" t="str">
            <v>Оганов А.С.7272</v>
          </cell>
          <cell r="F982">
            <v>1390</v>
          </cell>
        </row>
        <row r="983">
          <cell r="A983">
            <v>46042</v>
          </cell>
          <cell r="D983" t="str">
            <v>Оганов А.С.7272</v>
          </cell>
          <cell r="F983">
            <v>2000</v>
          </cell>
        </row>
        <row r="984">
          <cell r="A984">
            <v>46042</v>
          </cell>
          <cell r="D984" t="str">
            <v>Виктория 2502</v>
          </cell>
          <cell r="F984">
            <v>790</v>
          </cell>
        </row>
        <row r="985">
          <cell r="A985">
            <v>46042</v>
          </cell>
          <cell r="D985" t="str">
            <v>Оганов А.С.3007</v>
          </cell>
          <cell r="F985">
            <v>2980</v>
          </cell>
        </row>
        <row r="986">
          <cell r="A986">
            <v>46042</v>
          </cell>
          <cell r="D986" t="str">
            <v>Оганов А.С.3007</v>
          </cell>
          <cell r="F986">
            <v>2500</v>
          </cell>
        </row>
        <row r="987">
          <cell r="A987">
            <v>46042</v>
          </cell>
          <cell r="D987" t="str">
            <v>Оганов А. С. 2106</v>
          </cell>
          <cell r="F987">
            <v>3498</v>
          </cell>
        </row>
        <row r="988">
          <cell r="A988">
            <v>46042</v>
          </cell>
          <cell r="D988" t="str">
            <v>Виктория 2502</v>
          </cell>
          <cell r="F988">
            <v>1500</v>
          </cell>
        </row>
        <row r="989">
          <cell r="A989">
            <v>46042</v>
          </cell>
          <cell r="D989" t="str">
            <v>Виктория 2502</v>
          </cell>
          <cell r="F989">
            <v>200</v>
          </cell>
        </row>
        <row r="990">
          <cell r="A990">
            <v>46042</v>
          </cell>
          <cell r="D990" t="str">
            <v>Виктория 2502</v>
          </cell>
          <cell r="F990">
            <v>0</v>
          </cell>
        </row>
        <row r="991">
          <cell r="A991">
            <v>46042</v>
          </cell>
          <cell r="D991" t="str">
            <v>Виктория 2502</v>
          </cell>
          <cell r="F991">
            <v>2000</v>
          </cell>
        </row>
        <row r="992">
          <cell r="A992">
            <v>46042</v>
          </cell>
          <cell r="D992" t="str">
            <v>Оганов А.С.2404</v>
          </cell>
          <cell r="F992">
            <v>2590</v>
          </cell>
        </row>
        <row r="993">
          <cell r="A993">
            <v>46042</v>
          </cell>
          <cell r="D993" t="str">
            <v>Оганов А.С.2404</v>
          </cell>
          <cell r="F993">
            <v>2290</v>
          </cell>
        </row>
        <row r="994">
          <cell r="A994">
            <v>46042</v>
          </cell>
          <cell r="D994" t="str">
            <v>Оганов А.С.2404</v>
          </cell>
          <cell r="F994">
            <v>1729</v>
          </cell>
        </row>
        <row r="995">
          <cell r="A995">
            <v>46042</v>
          </cell>
          <cell r="D995" t="str">
            <v>Оганов А.С.2404</v>
          </cell>
          <cell r="F995">
            <v>2590</v>
          </cell>
        </row>
        <row r="996">
          <cell r="A996">
            <v>46042</v>
          </cell>
          <cell r="D996" t="str">
            <v>Виктория 2502</v>
          </cell>
          <cell r="F996">
            <v>1200</v>
          </cell>
        </row>
        <row r="997">
          <cell r="A997">
            <v>46042</v>
          </cell>
          <cell r="D997" t="str">
            <v>Виктория 2502</v>
          </cell>
          <cell r="F997">
            <v>1490</v>
          </cell>
        </row>
        <row r="998">
          <cell r="A998">
            <v>46042</v>
          </cell>
          <cell r="D998" t="str">
            <v>Виктория 2502</v>
          </cell>
          <cell r="F998">
            <v>2490</v>
          </cell>
        </row>
        <row r="999">
          <cell r="A999">
            <v>46042</v>
          </cell>
          <cell r="D999" t="str">
            <v>Оганов А.С.0102</v>
          </cell>
          <cell r="F999">
            <v>1390</v>
          </cell>
        </row>
        <row r="1000">
          <cell r="A1000">
            <v>46042</v>
          </cell>
          <cell r="D1000" t="str">
            <v>Оганов А.С.0102</v>
          </cell>
          <cell r="F1000">
            <v>0</v>
          </cell>
        </row>
        <row r="1001">
          <cell r="A1001">
            <v>46042</v>
          </cell>
          <cell r="D1001" t="str">
            <v>Оганов А.С.0102</v>
          </cell>
          <cell r="F1001">
            <v>980</v>
          </cell>
        </row>
        <row r="1002">
          <cell r="A1002">
            <v>46042</v>
          </cell>
          <cell r="D1002" t="str">
            <v>Оганов А.С.0102</v>
          </cell>
          <cell r="F1002">
            <v>2860</v>
          </cell>
        </row>
        <row r="1003">
          <cell r="A1003">
            <v>46042</v>
          </cell>
          <cell r="D1003" t="str">
            <v>Оганов А.С.0102</v>
          </cell>
          <cell r="F1003">
            <v>0</v>
          </cell>
        </row>
        <row r="1004">
          <cell r="A1004">
            <v>46042</v>
          </cell>
          <cell r="D1004" t="str">
            <v>Оганов А.С.0102</v>
          </cell>
          <cell r="F1004">
            <v>1000</v>
          </cell>
        </row>
        <row r="1005">
          <cell r="A1005">
            <v>46042</v>
          </cell>
          <cell r="D1005" t="str">
            <v>Оганов А.С.0102</v>
          </cell>
          <cell r="F1005">
            <v>3000</v>
          </cell>
        </row>
        <row r="1006">
          <cell r="A1006">
            <v>46042</v>
          </cell>
          <cell r="D1006" t="str">
            <v>Оганов А.С.7272</v>
          </cell>
          <cell r="F1006">
            <v>2980</v>
          </cell>
        </row>
        <row r="1007">
          <cell r="A1007">
            <v>46042</v>
          </cell>
          <cell r="D1007" t="str">
            <v>Оганов А.С.7272</v>
          </cell>
          <cell r="F1007">
            <v>700</v>
          </cell>
        </row>
        <row r="1008">
          <cell r="A1008">
            <v>46042</v>
          </cell>
          <cell r="D1008" t="str">
            <v>Оганов А.С.0102</v>
          </cell>
          <cell r="F1008">
            <v>1490</v>
          </cell>
        </row>
        <row r="1009">
          <cell r="A1009">
            <v>46042</v>
          </cell>
          <cell r="D1009" t="str">
            <v>Оганов А.С.0102</v>
          </cell>
          <cell r="F1009">
            <v>1500</v>
          </cell>
        </row>
        <row r="1010">
          <cell r="A1010">
            <v>46042</v>
          </cell>
          <cell r="D1010" t="str">
            <v>Оганов А.С.0102</v>
          </cell>
          <cell r="F1010">
            <v>4500</v>
          </cell>
        </row>
        <row r="1011">
          <cell r="A1011">
            <v>46042</v>
          </cell>
          <cell r="D1011" t="str">
            <v>Оганов А.С.7272</v>
          </cell>
          <cell r="F1011">
            <v>1490</v>
          </cell>
        </row>
        <row r="1012">
          <cell r="A1012">
            <v>46042</v>
          </cell>
          <cell r="D1012" t="str">
            <v>Оганов А.С.7272</v>
          </cell>
          <cell r="F1012">
            <v>290</v>
          </cell>
        </row>
        <row r="1013">
          <cell r="A1013">
            <v>46042</v>
          </cell>
          <cell r="D1013" t="str">
            <v>Оганов А. С. 2106</v>
          </cell>
          <cell r="F1013">
            <v>5000</v>
          </cell>
        </row>
        <row r="1014">
          <cell r="A1014">
            <v>46042</v>
          </cell>
          <cell r="D1014" t="str">
            <v>Виктория 2502</v>
          </cell>
          <cell r="F1014">
            <v>2290</v>
          </cell>
        </row>
        <row r="1015">
          <cell r="A1015">
            <v>46042</v>
          </cell>
          <cell r="D1015" t="str">
            <v>Оганов А. С. 2106</v>
          </cell>
          <cell r="F1015">
            <v>3498</v>
          </cell>
        </row>
        <row r="1016">
          <cell r="A1016">
            <v>46042</v>
          </cell>
          <cell r="D1016" t="str">
            <v>Оганов А.С.7272</v>
          </cell>
          <cell r="F1016">
            <v>690</v>
          </cell>
        </row>
        <row r="1017">
          <cell r="A1017">
            <v>46042</v>
          </cell>
          <cell r="D1017" t="str">
            <v>Оганов А.С.2404</v>
          </cell>
          <cell r="F1017">
            <v>1749</v>
          </cell>
        </row>
        <row r="1018">
          <cell r="A1018">
            <v>46042</v>
          </cell>
          <cell r="D1018" t="str">
            <v>Оганов А.С.7272</v>
          </cell>
          <cell r="F1018">
            <v>800</v>
          </cell>
        </row>
        <row r="1019">
          <cell r="A1019">
            <v>46042</v>
          </cell>
          <cell r="D1019" t="str">
            <v>Оганов А.С.7272</v>
          </cell>
          <cell r="F1019">
            <v>690</v>
          </cell>
        </row>
        <row r="1020">
          <cell r="A1020">
            <v>46042</v>
          </cell>
          <cell r="D1020" t="str">
            <v>Оганов А.С.7272</v>
          </cell>
          <cell r="F1020">
            <v>690</v>
          </cell>
        </row>
        <row r="1021">
          <cell r="A1021">
            <v>46042</v>
          </cell>
          <cell r="D1021" t="str">
            <v>Оганов А.С.7272</v>
          </cell>
          <cell r="F1021">
            <v>950</v>
          </cell>
        </row>
        <row r="1022">
          <cell r="A1022">
            <v>46042</v>
          </cell>
          <cell r="D1022" t="str">
            <v>Оганов А.С.7272</v>
          </cell>
          <cell r="F1022">
            <v>1110</v>
          </cell>
        </row>
        <row r="1023">
          <cell r="A1023">
            <v>46042</v>
          </cell>
          <cell r="D1023" t="str">
            <v>Оганов А.С.0102</v>
          </cell>
          <cell r="F1023">
            <v>3498</v>
          </cell>
        </row>
        <row r="1024">
          <cell r="A1024">
            <v>46042</v>
          </cell>
          <cell r="D1024" t="str">
            <v>Оганов А.С.0102</v>
          </cell>
          <cell r="F1024">
            <v>3498</v>
          </cell>
        </row>
        <row r="1025">
          <cell r="A1025">
            <v>46042</v>
          </cell>
          <cell r="D1025" t="str">
            <v>Оганов А.С.7272</v>
          </cell>
          <cell r="F1025">
            <v>690</v>
          </cell>
        </row>
        <row r="1026">
          <cell r="A1026">
            <v>46042</v>
          </cell>
          <cell r="D1026" t="str">
            <v>Виктория 2502</v>
          </cell>
          <cell r="F1026">
            <v>0</v>
          </cell>
        </row>
        <row r="1027">
          <cell r="A1027">
            <v>46042</v>
          </cell>
          <cell r="D1027" t="str">
            <v>Виктория 2502</v>
          </cell>
          <cell r="F1027">
            <v>2490</v>
          </cell>
        </row>
        <row r="1028">
          <cell r="A1028">
            <v>46043</v>
          </cell>
          <cell r="D1028" t="str">
            <v>Вероника 1996</v>
          </cell>
          <cell r="F1028">
            <v>759</v>
          </cell>
        </row>
        <row r="1029">
          <cell r="A1029">
            <v>46043</v>
          </cell>
          <cell r="D1029" t="str">
            <v>Оганов А. С. 2106</v>
          </cell>
          <cell r="F1029">
            <v>2390</v>
          </cell>
        </row>
        <row r="1030">
          <cell r="A1030">
            <v>46043</v>
          </cell>
          <cell r="D1030" t="str">
            <v>Оганов А. С. 2106</v>
          </cell>
          <cell r="F1030">
            <v>3750</v>
          </cell>
        </row>
        <row r="1031">
          <cell r="A1031">
            <v>46043</v>
          </cell>
          <cell r="D1031" t="str">
            <v>Вероника 1996</v>
          </cell>
          <cell r="F1031">
            <v>5500</v>
          </cell>
        </row>
        <row r="1032">
          <cell r="A1032">
            <v>46043</v>
          </cell>
          <cell r="D1032" t="str">
            <v>Оганов А.С.3007</v>
          </cell>
          <cell r="F1032">
            <v>8000</v>
          </cell>
        </row>
        <row r="1033">
          <cell r="A1033">
            <v>46043</v>
          </cell>
          <cell r="D1033" t="str">
            <v>Оганов А.С.3007</v>
          </cell>
          <cell r="F1033">
            <v>1200</v>
          </cell>
        </row>
        <row r="1034">
          <cell r="A1034">
            <v>46043</v>
          </cell>
          <cell r="D1034" t="str">
            <v>Оганов А.С.3007</v>
          </cell>
          <cell r="F1034">
            <v>2490</v>
          </cell>
        </row>
        <row r="1035">
          <cell r="A1035">
            <v>46043</v>
          </cell>
          <cell r="D1035" t="str">
            <v>Оганов А. С. 2106</v>
          </cell>
          <cell r="F1035">
            <v>4000</v>
          </cell>
        </row>
        <row r="1036">
          <cell r="A1036">
            <v>46043</v>
          </cell>
          <cell r="D1036" t="str">
            <v>Оганов А.С.3007</v>
          </cell>
          <cell r="F1036">
            <v>7500</v>
          </cell>
        </row>
        <row r="1037">
          <cell r="A1037">
            <v>46043</v>
          </cell>
          <cell r="D1037" t="str">
            <v>Виктория 2502</v>
          </cell>
          <cell r="F1037">
            <v>5490</v>
          </cell>
        </row>
        <row r="1038">
          <cell r="A1038">
            <v>46043</v>
          </cell>
          <cell r="D1038" t="str">
            <v>Оганов А.С.3007</v>
          </cell>
          <cell r="F1038">
            <v>2590</v>
          </cell>
        </row>
        <row r="1039">
          <cell r="A1039">
            <v>46043</v>
          </cell>
          <cell r="D1039" t="str">
            <v>Вероника 1996</v>
          </cell>
          <cell r="F1039">
            <v>5500</v>
          </cell>
        </row>
        <row r="1040">
          <cell r="A1040">
            <v>46043</v>
          </cell>
          <cell r="D1040" t="str">
            <v>Оганов А.С.3007</v>
          </cell>
          <cell r="F1040">
            <v>1790</v>
          </cell>
        </row>
        <row r="1041">
          <cell r="A1041">
            <v>46043</v>
          </cell>
          <cell r="D1041" t="str">
            <v>Оганов А.С.3007</v>
          </cell>
          <cell r="F1041">
            <v>1380</v>
          </cell>
        </row>
        <row r="1042">
          <cell r="A1042">
            <v>46043</v>
          </cell>
          <cell r="D1042" t="str">
            <v>Вероника 1996</v>
          </cell>
          <cell r="F1042">
            <v>2000</v>
          </cell>
        </row>
        <row r="1043">
          <cell r="A1043">
            <v>46043</v>
          </cell>
          <cell r="D1043" t="str">
            <v>Оганов А.С.3007</v>
          </cell>
          <cell r="F1043">
            <v>5000</v>
          </cell>
        </row>
        <row r="1044">
          <cell r="A1044">
            <v>46043</v>
          </cell>
          <cell r="D1044" t="str">
            <v>Виктория 2502</v>
          </cell>
          <cell r="F1044">
            <v>4490</v>
          </cell>
        </row>
        <row r="1045">
          <cell r="A1045">
            <v>46043</v>
          </cell>
          <cell r="D1045" t="str">
            <v>Виктория 2502</v>
          </cell>
          <cell r="F1045">
            <v>0</v>
          </cell>
        </row>
        <row r="1046">
          <cell r="A1046">
            <v>46043</v>
          </cell>
          <cell r="D1046" t="str">
            <v>Вероника 1996</v>
          </cell>
          <cell r="F1046">
            <v>1300</v>
          </cell>
        </row>
        <row r="1047">
          <cell r="A1047">
            <v>46043</v>
          </cell>
          <cell r="D1047" t="str">
            <v>Вероника 1996</v>
          </cell>
          <cell r="F1047">
            <v>1500</v>
          </cell>
        </row>
        <row r="1048">
          <cell r="A1048">
            <v>46043</v>
          </cell>
          <cell r="D1048" t="str">
            <v>Вероника 1996</v>
          </cell>
          <cell r="F1048">
            <v>1200</v>
          </cell>
        </row>
        <row r="1049">
          <cell r="A1049">
            <v>46043</v>
          </cell>
          <cell r="D1049" t="str">
            <v>Оганов А. С. 2106</v>
          </cell>
          <cell r="F1049">
            <v>1749</v>
          </cell>
        </row>
        <row r="1050">
          <cell r="A1050">
            <v>46045</v>
          </cell>
          <cell r="D1050" t="str">
            <v>Алекс 2104</v>
          </cell>
          <cell r="F1050">
            <v>3000</v>
          </cell>
        </row>
        <row r="1051">
          <cell r="A1051">
            <v>46043</v>
          </cell>
          <cell r="D1051" t="str">
            <v>Вероника 1996</v>
          </cell>
          <cell r="F1051">
            <v>0</v>
          </cell>
        </row>
        <row r="1052">
          <cell r="A1052">
            <v>46043</v>
          </cell>
          <cell r="D1052" t="str">
            <v>Оганов А.С.0102</v>
          </cell>
          <cell r="F1052">
            <v>5500</v>
          </cell>
        </row>
        <row r="1053">
          <cell r="A1053">
            <v>46043</v>
          </cell>
          <cell r="D1053" t="str">
            <v>Вероника 1996</v>
          </cell>
          <cell r="F1053">
            <v>2690</v>
          </cell>
        </row>
        <row r="1054">
          <cell r="A1054">
            <v>46043</v>
          </cell>
          <cell r="D1054" t="str">
            <v>Вероника 1996</v>
          </cell>
          <cell r="F1054">
            <v>10000</v>
          </cell>
        </row>
        <row r="1055">
          <cell r="A1055">
            <v>46043</v>
          </cell>
          <cell r="D1055" t="str">
            <v>Вероника 1996</v>
          </cell>
          <cell r="F1055">
            <v>10000</v>
          </cell>
        </row>
        <row r="1056">
          <cell r="A1056">
            <v>46043</v>
          </cell>
          <cell r="D1056" t="str">
            <v>Оганов А.С.0102</v>
          </cell>
          <cell r="F1056">
            <v>1490</v>
          </cell>
        </row>
        <row r="1057">
          <cell r="A1057">
            <v>46043</v>
          </cell>
          <cell r="D1057" t="str">
            <v>Оганов А.С.0102</v>
          </cell>
          <cell r="F1057">
            <v>1490</v>
          </cell>
        </row>
        <row r="1058">
          <cell r="A1058">
            <v>46043</v>
          </cell>
          <cell r="D1058" t="str">
            <v>Оганов А.С.0102</v>
          </cell>
          <cell r="F1058">
            <v>690</v>
          </cell>
        </row>
        <row r="1059">
          <cell r="A1059">
            <v>46043</v>
          </cell>
          <cell r="D1059" t="str">
            <v>Оганов А.С.0102</v>
          </cell>
          <cell r="F1059">
            <v>5000</v>
          </cell>
        </row>
        <row r="1060">
          <cell r="A1060">
            <v>46043</v>
          </cell>
          <cell r="D1060" t="str">
            <v>Вероника 1996</v>
          </cell>
          <cell r="F1060">
            <v>1390</v>
          </cell>
        </row>
        <row r="1061">
          <cell r="A1061">
            <v>46043</v>
          </cell>
          <cell r="D1061" t="str">
            <v>Вероника 1996</v>
          </cell>
          <cell r="F1061">
            <v>1690</v>
          </cell>
        </row>
        <row r="1062">
          <cell r="A1062">
            <v>46043</v>
          </cell>
          <cell r="D1062" t="str">
            <v>Оганов А.С.0102</v>
          </cell>
          <cell r="F1062">
            <v>2980</v>
          </cell>
        </row>
        <row r="1063">
          <cell r="A1063">
            <v>46043</v>
          </cell>
          <cell r="D1063" t="str">
            <v>Оганов А.С.2404</v>
          </cell>
          <cell r="F1063">
            <v>5500</v>
          </cell>
        </row>
        <row r="1064">
          <cell r="A1064">
            <v>46043</v>
          </cell>
          <cell r="D1064" t="str">
            <v>Оганов А.С.2404</v>
          </cell>
          <cell r="F1064">
            <v>0</v>
          </cell>
        </row>
        <row r="1065">
          <cell r="A1065">
            <v>46043</v>
          </cell>
          <cell r="D1065" t="str">
            <v>Оганов А.С.2404</v>
          </cell>
          <cell r="F1065">
            <v>5500</v>
          </cell>
        </row>
        <row r="1066">
          <cell r="A1066">
            <v>46043</v>
          </cell>
          <cell r="D1066" t="str">
            <v>Оганов А.С.2404</v>
          </cell>
          <cell r="F1066">
            <v>2860</v>
          </cell>
        </row>
        <row r="1067">
          <cell r="A1067">
            <v>46043</v>
          </cell>
          <cell r="D1067" t="str">
            <v>Оганов А.С.0102</v>
          </cell>
          <cell r="F1067">
            <v>5990</v>
          </cell>
        </row>
        <row r="1068">
          <cell r="A1068">
            <v>46043</v>
          </cell>
          <cell r="D1068" t="str">
            <v>Оганов А.С.0102</v>
          </cell>
          <cell r="F1068">
            <v>2490</v>
          </cell>
        </row>
        <row r="1069">
          <cell r="A1069">
            <v>46043</v>
          </cell>
          <cell r="D1069" t="str">
            <v>Оганов А.С.0102</v>
          </cell>
          <cell r="F1069">
            <v>5000</v>
          </cell>
        </row>
        <row r="1070">
          <cell r="A1070">
            <v>46043</v>
          </cell>
          <cell r="D1070" t="str">
            <v>Оганов А.С.0102</v>
          </cell>
          <cell r="F1070">
            <v>1190</v>
          </cell>
        </row>
        <row r="1071">
          <cell r="A1071">
            <v>46043</v>
          </cell>
          <cell r="D1071" t="str">
            <v>Оганов А.С.0102</v>
          </cell>
          <cell r="F1071">
            <v>2860</v>
          </cell>
        </row>
        <row r="1072">
          <cell r="A1072">
            <v>46043</v>
          </cell>
          <cell r="D1072" t="str">
            <v>Оганов А.С.0102</v>
          </cell>
          <cell r="F1072">
            <v>1390</v>
          </cell>
        </row>
        <row r="1073">
          <cell r="A1073">
            <v>46043</v>
          </cell>
          <cell r="D1073" t="str">
            <v>Оганов А. С. 2106</v>
          </cell>
          <cell r="F1073">
            <v>3000</v>
          </cell>
        </row>
        <row r="1074">
          <cell r="A1074">
            <v>46043</v>
          </cell>
          <cell r="D1074" t="str">
            <v>Оганов А. С. 2106</v>
          </cell>
          <cell r="F1074">
            <v>780</v>
          </cell>
        </row>
        <row r="1075">
          <cell r="A1075">
            <v>46043</v>
          </cell>
          <cell r="D1075" t="str">
            <v>Оганов А.С.0102</v>
          </cell>
          <cell r="F1075">
            <v>5500</v>
          </cell>
        </row>
        <row r="1076">
          <cell r="A1076">
            <v>46043</v>
          </cell>
          <cell r="D1076" t="str">
            <v>Оганов А.С.0102</v>
          </cell>
          <cell r="F1076">
            <v>0</v>
          </cell>
        </row>
        <row r="1077">
          <cell r="A1077">
            <v>46043</v>
          </cell>
          <cell r="D1077" t="str">
            <v>Оганов А.С.0102</v>
          </cell>
          <cell r="F1077">
            <v>1790</v>
          </cell>
        </row>
        <row r="1078">
          <cell r="A1078">
            <v>46043</v>
          </cell>
          <cell r="D1078" t="str">
            <v>Вероника 1996</v>
          </cell>
          <cell r="F1078">
            <v>1790</v>
          </cell>
        </row>
        <row r="1079">
          <cell r="A1079">
            <v>46043</v>
          </cell>
          <cell r="D1079" t="str">
            <v>Вероника 1996</v>
          </cell>
          <cell r="F1079">
            <v>1000</v>
          </cell>
        </row>
        <row r="1080">
          <cell r="A1080">
            <v>46043</v>
          </cell>
          <cell r="D1080" t="str">
            <v>Виктория 2502</v>
          </cell>
          <cell r="F1080">
            <v>2980</v>
          </cell>
        </row>
        <row r="1081">
          <cell r="A1081">
            <v>46043</v>
          </cell>
          <cell r="D1081" t="str">
            <v>Вероника 1996</v>
          </cell>
          <cell r="F1081">
            <v>1200</v>
          </cell>
        </row>
        <row r="1082">
          <cell r="A1082">
            <v>46043</v>
          </cell>
          <cell r="D1082" t="str">
            <v>Вероника 1996</v>
          </cell>
          <cell r="F1082">
            <v>1320</v>
          </cell>
        </row>
        <row r="1083">
          <cell r="A1083">
            <v>46043</v>
          </cell>
          <cell r="D1083" t="str">
            <v>Вероника 1996</v>
          </cell>
          <cell r="F1083">
            <v>3300</v>
          </cell>
        </row>
        <row r="1084">
          <cell r="A1084">
            <v>46043</v>
          </cell>
          <cell r="D1084" t="str">
            <v>Оганов А. С. 2106</v>
          </cell>
          <cell r="F1084">
            <v>4780</v>
          </cell>
        </row>
        <row r="1085">
          <cell r="A1085">
            <v>46043</v>
          </cell>
          <cell r="D1085" t="str">
            <v>Оганов А. С. 2106</v>
          </cell>
          <cell r="F1085">
            <v>790</v>
          </cell>
        </row>
        <row r="1086">
          <cell r="A1086">
            <v>46044</v>
          </cell>
          <cell r="D1086" t="str">
            <v>Любовь 1302</v>
          </cell>
          <cell r="F1086">
            <v>1380</v>
          </cell>
        </row>
        <row r="1087">
          <cell r="A1087">
            <v>46044</v>
          </cell>
          <cell r="D1087" t="str">
            <v>Любовь 1302</v>
          </cell>
          <cell r="F1087">
            <v>1390</v>
          </cell>
        </row>
        <row r="1088">
          <cell r="A1088">
            <v>46044</v>
          </cell>
          <cell r="D1088" t="str">
            <v>Любовь 1302</v>
          </cell>
          <cell r="F1088">
            <v>1390</v>
          </cell>
        </row>
        <row r="1089">
          <cell r="A1089">
            <v>46044</v>
          </cell>
          <cell r="D1089" t="str">
            <v>Любовь 1302</v>
          </cell>
          <cell r="F1089">
            <v>1390</v>
          </cell>
        </row>
        <row r="1090">
          <cell r="A1090">
            <v>46044</v>
          </cell>
          <cell r="D1090" t="str">
            <v>Любовь 1302</v>
          </cell>
          <cell r="F1090">
            <v>1390</v>
          </cell>
        </row>
        <row r="1091">
          <cell r="A1091">
            <v>46044</v>
          </cell>
          <cell r="D1091" t="str">
            <v>Вероника 1996</v>
          </cell>
          <cell r="F1091">
            <v>1</v>
          </cell>
        </row>
        <row r="1092">
          <cell r="A1092">
            <v>46044</v>
          </cell>
          <cell r="D1092" t="str">
            <v>Оганов А.С.0102</v>
          </cell>
          <cell r="F1092">
            <v>1490</v>
          </cell>
        </row>
        <row r="1093">
          <cell r="A1093">
            <v>46044</v>
          </cell>
          <cell r="D1093" t="str">
            <v>Екатерина 2201</v>
          </cell>
          <cell r="F1093">
            <v>690</v>
          </cell>
        </row>
        <row r="1094">
          <cell r="A1094">
            <v>46044</v>
          </cell>
          <cell r="D1094" t="str">
            <v>Екатерина 2201</v>
          </cell>
          <cell r="F1094">
            <v>1690</v>
          </cell>
        </row>
        <row r="1095">
          <cell r="A1095">
            <v>46044</v>
          </cell>
          <cell r="D1095" t="str">
            <v>Оганов А.С.3007</v>
          </cell>
          <cell r="F1095">
            <v>6000</v>
          </cell>
        </row>
        <row r="1096">
          <cell r="A1096">
            <v>46044</v>
          </cell>
          <cell r="D1096" t="str">
            <v>Оганов А.С.3007</v>
          </cell>
          <cell r="F1096">
            <v>2000</v>
          </cell>
        </row>
        <row r="1097">
          <cell r="A1097">
            <v>46044</v>
          </cell>
          <cell r="D1097" t="str">
            <v>Оганов А.С.3007</v>
          </cell>
          <cell r="F1097">
            <v>1490</v>
          </cell>
        </row>
        <row r="1098">
          <cell r="A1098">
            <v>46044</v>
          </cell>
          <cell r="D1098" t="str">
            <v>Екатерина 2201</v>
          </cell>
          <cell r="F1098">
            <v>2500</v>
          </cell>
        </row>
        <row r="1099">
          <cell r="A1099">
            <v>46044</v>
          </cell>
          <cell r="D1099" t="str">
            <v>Екатерина 2201</v>
          </cell>
          <cell r="F1099">
            <v>2000</v>
          </cell>
        </row>
        <row r="1100">
          <cell r="A1100">
            <v>46044</v>
          </cell>
          <cell r="D1100" t="str">
            <v>Екатерина 2201</v>
          </cell>
          <cell r="F1100">
            <v>1500</v>
          </cell>
        </row>
        <row r="1101">
          <cell r="A1101">
            <v>46044</v>
          </cell>
          <cell r="D1101" t="str">
            <v>Оганов А.С.3007</v>
          </cell>
          <cell r="F1101">
            <v>5500</v>
          </cell>
        </row>
        <row r="1102">
          <cell r="A1102">
            <v>46044</v>
          </cell>
          <cell r="D1102" t="str">
            <v>Вероника 1996</v>
          </cell>
          <cell r="F1102">
            <v>0</v>
          </cell>
        </row>
        <row r="1103">
          <cell r="A1103">
            <v>46044</v>
          </cell>
          <cell r="D1103" t="str">
            <v>Вероника 1996</v>
          </cell>
          <cell r="F1103">
            <v>1200</v>
          </cell>
        </row>
        <row r="1104">
          <cell r="A1104">
            <v>46044</v>
          </cell>
          <cell r="D1104" t="str">
            <v>Оганов А.С.3007</v>
          </cell>
          <cell r="F1104">
            <v>1490</v>
          </cell>
        </row>
        <row r="1105">
          <cell r="A1105">
            <v>46044</v>
          </cell>
          <cell r="D1105" t="str">
            <v>Оганов А.С.3007</v>
          </cell>
          <cell r="F1105">
            <v>1050</v>
          </cell>
        </row>
        <row r="1106">
          <cell r="A1106">
            <v>46044</v>
          </cell>
          <cell r="D1106" t="str">
            <v>Оганов А.С.3007</v>
          </cell>
          <cell r="F1106">
            <v>2500</v>
          </cell>
        </row>
        <row r="1107">
          <cell r="A1107">
            <v>46044</v>
          </cell>
          <cell r="D1107" t="str">
            <v>Любовь 1302</v>
          </cell>
          <cell r="F1107">
            <v>2590</v>
          </cell>
        </row>
        <row r="1108">
          <cell r="A1108">
            <v>46044</v>
          </cell>
          <cell r="D1108" t="str">
            <v>Любовь 1302</v>
          </cell>
          <cell r="F1108">
            <v>777</v>
          </cell>
        </row>
        <row r="1109">
          <cell r="A1109">
            <v>46044</v>
          </cell>
          <cell r="D1109" t="str">
            <v>Вероника 1996</v>
          </cell>
          <cell r="F1109">
            <v>1390</v>
          </cell>
        </row>
        <row r="1110">
          <cell r="A1110">
            <v>46044</v>
          </cell>
          <cell r="D1110" t="str">
            <v>Любовь 1302</v>
          </cell>
          <cell r="F1110">
            <v>1749</v>
          </cell>
        </row>
        <row r="1111">
          <cell r="A1111">
            <v>46044</v>
          </cell>
          <cell r="D1111" t="str">
            <v>Екатерина 2201</v>
          </cell>
          <cell r="F1111">
            <v>790</v>
          </cell>
        </row>
        <row r="1112">
          <cell r="A1112">
            <v>46044</v>
          </cell>
          <cell r="D1112" t="str">
            <v>Вероника 1996</v>
          </cell>
          <cell r="F1112">
            <v>2380</v>
          </cell>
        </row>
        <row r="1113">
          <cell r="A1113">
            <v>46044</v>
          </cell>
          <cell r="D1113" t="str">
            <v>Вероника 1996</v>
          </cell>
          <cell r="F1113">
            <v>1200</v>
          </cell>
        </row>
        <row r="1114">
          <cell r="A1114">
            <v>46044</v>
          </cell>
          <cell r="D1114" t="str">
            <v>Оганов А.С.0102</v>
          </cell>
          <cell r="F1114">
            <v>2290</v>
          </cell>
        </row>
        <row r="1115">
          <cell r="A1115">
            <v>46044</v>
          </cell>
          <cell r="D1115" t="str">
            <v>Оганов А.С.0102</v>
          </cell>
          <cell r="F1115">
            <v>1500</v>
          </cell>
        </row>
        <row r="1116">
          <cell r="A1116">
            <v>46044</v>
          </cell>
          <cell r="D1116" t="str">
            <v>Вероника 1996</v>
          </cell>
          <cell r="F1116">
            <v>2290</v>
          </cell>
        </row>
        <row r="1117">
          <cell r="A1117">
            <v>46044</v>
          </cell>
          <cell r="D1117" t="str">
            <v>Вероника 1996</v>
          </cell>
          <cell r="F1117">
            <v>1000</v>
          </cell>
        </row>
        <row r="1118">
          <cell r="A1118">
            <v>46044</v>
          </cell>
          <cell r="D1118" t="str">
            <v>Вероника 1996</v>
          </cell>
          <cell r="F1118">
            <v>2500</v>
          </cell>
        </row>
        <row r="1119">
          <cell r="A1119">
            <v>46044</v>
          </cell>
          <cell r="D1119" t="str">
            <v>Екатерина 2201</v>
          </cell>
          <cell r="F1119">
            <v>790</v>
          </cell>
        </row>
        <row r="1120">
          <cell r="A1120">
            <v>46044</v>
          </cell>
          <cell r="D1120" t="str">
            <v>Екатерина 2201</v>
          </cell>
          <cell r="F1120">
            <v>790</v>
          </cell>
        </row>
        <row r="1121">
          <cell r="A1121">
            <v>46044</v>
          </cell>
          <cell r="D1121" t="str">
            <v>Оганов А.С.2404</v>
          </cell>
          <cell r="F1121">
            <v>1290</v>
          </cell>
        </row>
        <row r="1122">
          <cell r="A1122">
            <v>46044</v>
          </cell>
          <cell r="D1122" t="str">
            <v>Оганов А.С.2404</v>
          </cell>
          <cell r="F1122">
            <v>3000</v>
          </cell>
        </row>
        <row r="1123">
          <cell r="A1123">
            <v>46044</v>
          </cell>
          <cell r="D1123" t="str">
            <v>Оганов А.С.3007</v>
          </cell>
          <cell r="F1123">
            <v>1290</v>
          </cell>
        </row>
        <row r="1124">
          <cell r="A1124">
            <v>46044</v>
          </cell>
          <cell r="D1124" t="str">
            <v>Оганов А.С.3007</v>
          </cell>
          <cell r="F1124">
            <v>0</v>
          </cell>
        </row>
        <row r="1125">
          <cell r="A1125">
            <v>46044</v>
          </cell>
          <cell r="D1125" t="str">
            <v>Оганов А.С.3007</v>
          </cell>
          <cell r="F1125">
            <v>0</v>
          </cell>
        </row>
        <row r="1126">
          <cell r="A1126">
            <v>46044</v>
          </cell>
          <cell r="D1126" t="str">
            <v>Оганов А.С.3007</v>
          </cell>
          <cell r="F1126">
            <v>2290</v>
          </cell>
        </row>
        <row r="1127">
          <cell r="A1127">
            <v>46044</v>
          </cell>
          <cell r="D1127" t="str">
            <v>Оганов А.С.3007</v>
          </cell>
          <cell r="F1127">
            <v>2500</v>
          </cell>
        </row>
        <row r="1128">
          <cell r="A1128">
            <v>46044</v>
          </cell>
          <cell r="D1128" t="str">
            <v>Оганов А.С.2404</v>
          </cell>
          <cell r="F1128">
            <v>2070</v>
          </cell>
        </row>
        <row r="1129">
          <cell r="A1129">
            <v>46044</v>
          </cell>
          <cell r="D1129" t="str">
            <v>Оганов А.С.2404</v>
          </cell>
          <cell r="F1129">
            <v>2500</v>
          </cell>
        </row>
        <row r="1130">
          <cell r="A1130">
            <v>46044</v>
          </cell>
          <cell r="D1130" t="str">
            <v>Екатерина 2201</v>
          </cell>
          <cell r="F1130">
            <v>2000</v>
          </cell>
        </row>
        <row r="1131">
          <cell r="A1131">
            <v>46044</v>
          </cell>
          <cell r="D1131" t="str">
            <v>Вероника 1996</v>
          </cell>
          <cell r="F1131">
            <v>6000</v>
          </cell>
        </row>
        <row r="1132">
          <cell r="A1132">
            <v>46044</v>
          </cell>
          <cell r="D1132" t="str">
            <v>Оганов А.С.0102</v>
          </cell>
          <cell r="F1132">
            <v>1790</v>
          </cell>
        </row>
        <row r="1133">
          <cell r="A1133">
            <v>46044</v>
          </cell>
          <cell r="D1133" t="str">
            <v>Вероника 1996</v>
          </cell>
          <cell r="F1133">
            <v>4000</v>
          </cell>
        </row>
        <row r="1134">
          <cell r="A1134">
            <v>46044</v>
          </cell>
          <cell r="D1134" t="str">
            <v>Вероника 1996</v>
          </cell>
          <cell r="F1134">
            <v>0</v>
          </cell>
        </row>
        <row r="1135">
          <cell r="A1135">
            <v>46044</v>
          </cell>
          <cell r="D1135" t="str">
            <v>Вероника 1996</v>
          </cell>
          <cell r="F1135">
            <v>0</v>
          </cell>
        </row>
        <row r="1136">
          <cell r="A1136">
            <v>46044</v>
          </cell>
          <cell r="D1136" t="str">
            <v>Вероника 1996</v>
          </cell>
          <cell r="F1136">
            <v>6600</v>
          </cell>
        </row>
        <row r="1137">
          <cell r="A1137">
            <v>46044</v>
          </cell>
          <cell r="D1137" t="str">
            <v>Оганов А.С.3007</v>
          </cell>
          <cell r="F1137">
            <v>2690</v>
          </cell>
        </row>
        <row r="1138">
          <cell r="A1138">
            <v>46044</v>
          </cell>
          <cell r="D1138" t="str">
            <v>Оганов А.С.3007</v>
          </cell>
          <cell r="F1138">
            <v>1350</v>
          </cell>
        </row>
        <row r="1139">
          <cell r="A1139">
            <v>46044</v>
          </cell>
          <cell r="D1139" t="str">
            <v>Екатерина 2201</v>
          </cell>
          <cell r="F1139">
            <v>1390</v>
          </cell>
        </row>
        <row r="1140">
          <cell r="A1140">
            <v>46044</v>
          </cell>
          <cell r="D1140" t="str">
            <v>Вероника 1996</v>
          </cell>
          <cell r="F1140">
            <v>0</v>
          </cell>
        </row>
        <row r="1141">
          <cell r="A1141">
            <v>46044</v>
          </cell>
          <cell r="D1141" t="str">
            <v>Екатерина 2201</v>
          </cell>
          <cell r="F1141">
            <v>7000</v>
          </cell>
        </row>
        <row r="1142">
          <cell r="A1142">
            <v>46049</v>
          </cell>
          <cell r="D1142" t="str">
            <v>Оганов А.С.7272</v>
          </cell>
          <cell r="F1142">
            <v>890</v>
          </cell>
        </row>
        <row r="1143">
          <cell r="A1143">
            <v>46044</v>
          </cell>
          <cell r="D1143" t="str">
            <v>Оганов А.С.2404</v>
          </cell>
          <cell r="F1143">
            <v>2000</v>
          </cell>
        </row>
        <row r="1144">
          <cell r="A1144">
            <v>46044</v>
          </cell>
          <cell r="D1144" t="str">
            <v>Любовь 1302</v>
          </cell>
          <cell r="F1144">
            <v>690</v>
          </cell>
        </row>
        <row r="1145">
          <cell r="A1145">
            <v>46044</v>
          </cell>
          <cell r="D1145" t="str">
            <v>Екатерина 2201</v>
          </cell>
          <cell r="F1145">
            <v>0</v>
          </cell>
        </row>
        <row r="1146">
          <cell r="A1146">
            <v>46045</v>
          </cell>
          <cell r="D1146" t="str">
            <v>Алекс 2104</v>
          </cell>
          <cell r="F1146">
            <v>1390</v>
          </cell>
        </row>
        <row r="1147">
          <cell r="A1147">
            <v>46045</v>
          </cell>
          <cell r="D1147" t="str">
            <v>Екатерина 2201</v>
          </cell>
          <cell r="F1147">
            <v>3500</v>
          </cell>
        </row>
        <row r="1148">
          <cell r="A1148">
            <v>46045</v>
          </cell>
          <cell r="D1148" t="str">
            <v>Екатерина 2201</v>
          </cell>
          <cell r="F1148">
            <v>1380</v>
          </cell>
        </row>
        <row r="1149">
          <cell r="A1149">
            <v>46045</v>
          </cell>
          <cell r="D1149" t="str">
            <v>Алекс 2104</v>
          </cell>
          <cell r="F1149">
            <v>2500</v>
          </cell>
        </row>
        <row r="1150">
          <cell r="A1150">
            <v>46045</v>
          </cell>
          <cell r="D1150" t="str">
            <v>Алекс 2104</v>
          </cell>
          <cell r="F1150">
            <v>1350</v>
          </cell>
        </row>
        <row r="1151">
          <cell r="A1151">
            <v>46045</v>
          </cell>
          <cell r="D1151" t="str">
            <v>Алекс 2104</v>
          </cell>
          <cell r="F1151">
            <v>2490</v>
          </cell>
        </row>
        <row r="1152">
          <cell r="A1152">
            <v>46045</v>
          </cell>
          <cell r="D1152" t="str">
            <v>Алекс 2104</v>
          </cell>
          <cell r="F1152">
            <v>1200</v>
          </cell>
        </row>
        <row r="1153">
          <cell r="A1153">
            <v>46049</v>
          </cell>
          <cell r="D1153" t="str">
            <v>Оганов А.С.7272</v>
          </cell>
          <cell r="F1153">
            <v>2070</v>
          </cell>
        </row>
        <row r="1154">
          <cell r="A1154">
            <v>46049</v>
          </cell>
          <cell r="D1154" t="str">
            <v>Оганов А.С.7272</v>
          </cell>
          <cell r="F1154">
            <v>5500</v>
          </cell>
        </row>
        <row r="1155">
          <cell r="A1155">
            <v>46045</v>
          </cell>
          <cell r="D1155" t="str">
            <v>Оганов А.С.5984</v>
          </cell>
          <cell r="F1155">
            <v>2000</v>
          </cell>
        </row>
        <row r="1156">
          <cell r="A1156">
            <v>46045</v>
          </cell>
          <cell r="D1156" t="str">
            <v>Екатерина 2201</v>
          </cell>
          <cell r="F1156">
            <v>1500</v>
          </cell>
        </row>
        <row r="1157">
          <cell r="A1157">
            <v>46045</v>
          </cell>
          <cell r="D1157" t="str">
            <v>Алекс 2104</v>
          </cell>
          <cell r="F1157">
            <v>8000</v>
          </cell>
        </row>
        <row r="1158">
          <cell r="A1158">
            <v>46045</v>
          </cell>
          <cell r="D1158" t="str">
            <v>Оганов А.С.7272</v>
          </cell>
          <cell r="F1158">
            <v>1490</v>
          </cell>
        </row>
        <row r="1159">
          <cell r="A1159">
            <v>46045</v>
          </cell>
          <cell r="D1159" t="str">
            <v>Оганов А.С.7272</v>
          </cell>
          <cell r="F1159">
            <v>1949</v>
          </cell>
        </row>
        <row r="1160">
          <cell r="A1160">
            <v>46045</v>
          </cell>
          <cell r="D1160" t="str">
            <v>Оганов А.С.7272</v>
          </cell>
          <cell r="F1160">
            <v>2490</v>
          </cell>
        </row>
        <row r="1161">
          <cell r="A1161">
            <v>46045</v>
          </cell>
          <cell r="D1161" t="str">
            <v>Оганов А.С.7272</v>
          </cell>
          <cell r="F1161">
            <v>2500</v>
          </cell>
        </row>
        <row r="1162">
          <cell r="A1162">
            <v>46045</v>
          </cell>
          <cell r="D1162" t="str">
            <v>Оганов А.С.7272</v>
          </cell>
          <cell r="F1162">
            <v>2490</v>
          </cell>
        </row>
        <row r="1163">
          <cell r="A1163">
            <v>46045</v>
          </cell>
          <cell r="D1163" t="str">
            <v>Оганов А.С.7272</v>
          </cell>
          <cell r="F1163">
            <v>1949</v>
          </cell>
        </row>
        <row r="1164">
          <cell r="A1164">
            <v>46045</v>
          </cell>
          <cell r="D1164" t="str">
            <v>Оганов А.С.7272</v>
          </cell>
          <cell r="F1164">
            <v>2500</v>
          </cell>
        </row>
        <row r="1165">
          <cell r="A1165">
            <v>46045</v>
          </cell>
          <cell r="D1165" t="str">
            <v>Оганов А.С.7272</v>
          </cell>
          <cell r="F1165">
            <v>2000</v>
          </cell>
        </row>
        <row r="1166">
          <cell r="A1166">
            <v>46045</v>
          </cell>
          <cell r="D1166" t="str">
            <v>Оганов А.С.7272</v>
          </cell>
          <cell r="F1166">
            <v>1490</v>
          </cell>
        </row>
        <row r="1167">
          <cell r="A1167">
            <v>46045</v>
          </cell>
          <cell r="D1167" t="str">
            <v>Оганов А.С.7272</v>
          </cell>
          <cell r="F1167">
            <v>2250</v>
          </cell>
        </row>
        <row r="1168">
          <cell r="A1168">
            <v>46045</v>
          </cell>
          <cell r="D1168" t="str">
            <v>Оганов А.С.7272</v>
          </cell>
          <cell r="F1168">
            <v>2000</v>
          </cell>
        </row>
        <row r="1169">
          <cell r="A1169">
            <v>46045</v>
          </cell>
          <cell r="D1169" t="str">
            <v>Оганов А.С.7272</v>
          </cell>
          <cell r="F1169">
            <v>1490</v>
          </cell>
        </row>
        <row r="1170">
          <cell r="A1170">
            <v>46045</v>
          </cell>
          <cell r="D1170" t="str">
            <v>Оганов А.С.7272</v>
          </cell>
          <cell r="F1170">
            <v>2490</v>
          </cell>
        </row>
        <row r="1171">
          <cell r="A1171">
            <v>46045</v>
          </cell>
          <cell r="D1171" t="str">
            <v>Оганов А.С.7272</v>
          </cell>
          <cell r="F1171">
            <v>4000</v>
          </cell>
        </row>
        <row r="1172">
          <cell r="A1172">
            <v>46045</v>
          </cell>
          <cell r="D1172" t="str">
            <v>Оганов А.С.1505</v>
          </cell>
          <cell r="F1172">
            <v>1980</v>
          </cell>
        </row>
        <row r="1173">
          <cell r="A1173">
            <v>46049</v>
          </cell>
          <cell r="D1173" t="str">
            <v>Оганов А.С.5984</v>
          </cell>
          <cell r="F1173">
            <v>0</v>
          </cell>
        </row>
        <row r="1174">
          <cell r="A1174">
            <v>46045</v>
          </cell>
          <cell r="D1174" t="str">
            <v>Алекс 2104</v>
          </cell>
          <cell r="F1174">
            <v>3000</v>
          </cell>
        </row>
        <row r="1175">
          <cell r="A1175">
            <v>46045</v>
          </cell>
          <cell r="D1175" t="str">
            <v>Алекс 2104</v>
          </cell>
          <cell r="F1175">
            <v>7160</v>
          </cell>
        </row>
        <row r="1176">
          <cell r="A1176">
            <v>46045</v>
          </cell>
          <cell r="D1176" t="str">
            <v>Алекс 2104</v>
          </cell>
          <cell r="F1176">
            <v>1500</v>
          </cell>
        </row>
        <row r="1177">
          <cell r="A1177">
            <v>46045</v>
          </cell>
          <cell r="D1177" t="str">
            <v>Алекс 2104</v>
          </cell>
          <cell r="F1177">
            <v>7000</v>
          </cell>
        </row>
        <row r="1178">
          <cell r="A1178">
            <v>46045</v>
          </cell>
          <cell r="D1178" t="str">
            <v>Екатерина 2201</v>
          </cell>
          <cell r="F1178">
            <v>690</v>
          </cell>
        </row>
        <row r="1179">
          <cell r="A1179">
            <v>46045</v>
          </cell>
          <cell r="D1179" t="str">
            <v>Оганов А.С.7272</v>
          </cell>
          <cell r="F1179">
            <v>780</v>
          </cell>
        </row>
        <row r="1180">
          <cell r="A1180">
            <v>46045</v>
          </cell>
          <cell r="D1180" t="str">
            <v>Оганов А.С.7272</v>
          </cell>
          <cell r="F1180">
            <v>980</v>
          </cell>
        </row>
        <row r="1181">
          <cell r="A1181">
            <v>46045</v>
          </cell>
          <cell r="D1181" t="str">
            <v>Оганов А.С.5984</v>
          </cell>
          <cell r="F1181">
            <v>1490</v>
          </cell>
        </row>
        <row r="1182">
          <cell r="A1182">
            <v>46045</v>
          </cell>
          <cell r="D1182" t="str">
            <v>Оганов А.С.1505</v>
          </cell>
          <cell r="F1182">
            <v>5500</v>
          </cell>
        </row>
        <row r="1183">
          <cell r="A1183">
            <v>46045</v>
          </cell>
          <cell r="D1183" t="str">
            <v>Алекс 2104</v>
          </cell>
          <cell r="F1183">
            <v>1490</v>
          </cell>
        </row>
        <row r="1184">
          <cell r="A1184">
            <v>46045</v>
          </cell>
          <cell r="D1184" t="str">
            <v>Алекс 2104</v>
          </cell>
          <cell r="F1184">
            <v>1200</v>
          </cell>
        </row>
        <row r="1185">
          <cell r="A1185">
            <v>46045</v>
          </cell>
          <cell r="D1185" t="str">
            <v>Алекс 2104</v>
          </cell>
          <cell r="F1185">
            <v>0</v>
          </cell>
        </row>
        <row r="1186">
          <cell r="A1186">
            <v>46045</v>
          </cell>
          <cell r="D1186" t="str">
            <v>Екатерина 2201</v>
          </cell>
          <cell r="F1186">
            <v>1390</v>
          </cell>
        </row>
        <row r="1187">
          <cell r="A1187">
            <v>46045</v>
          </cell>
          <cell r="D1187" t="str">
            <v>Любовь 1302</v>
          </cell>
          <cell r="F1187">
            <v>200</v>
          </cell>
        </row>
        <row r="1188">
          <cell r="A1188">
            <v>46045</v>
          </cell>
          <cell r="D1188" t="str">
            <v>Алекс 2104</v>
          </cell>
          <cell r="F1188">
            <v>2000</v>
          </cell>
        </row>
        <row r="1189">
          <cell r="A1189">
            <v>46045</v>
          </cell>
          <cell r="D1189" t="str">
            <v>Алекс 2104</v>
          </cell>
          <cell r="F1189">
            <v>1390</v>
          </cell>
        </row>
        <row r="1190">
          <cell r="A1190">
            <v>46045</v>
          </cell>
          <cell r="D1190" t="str">
            <v>Оганов А.С.7272</v>
          </cell>
          <cell r="F1190">
            <v>5000</v>
          </cell>
        </row>
        <row r="1191">
          <cell r="A1191">
            <v>46045</v>
          </cell>
          <cell r="D1191" t="str">
            <v>Алекс 2104</v>
          </cell>
          <cell r="F1191">
            <v>1000</v>
          </cell>
        </row>
        <row r="1192">
          <cell r="A1192">
            <v>46046</v>
          </cell>
          <cell r="D1192" t="str">
            <v>Виктория 2502</v>
          </cell>
          <cell r="F1192">
            <v>2990</v>
          </cell>
        </row>
        <row r="1193">
          <cell r="A1193">
            <v>46046</v>
          </cell>
          <cell r="D1193" t="str">
            <v>Оганов А.С.3007</v>
          </cell>
          <cell r="F1193">
            <v>2980</v>
          </cell>
        </row>
        <row r="1194">
          <cell r="A1194">
            <v>46046</v>
          </cell>
          <cell r="D1194" t="str">
            <v>Оганов А.С.3007</v>
          </cell>
          <cell r="F1194">
            <v>2750</v>
          </cell>
        </row>
        <row r="1195">
          <cell r="A1195">
            <v>46046</v>
          </cell>
          <cell r="D1195" t="str">
            <v>Оганов А.С.7272</v>
          </cell>
          <cell r="F1195">
            <v>1280</v>
          </cell>
        </row>
        <row r="1196">
          <cell r="A1196">
            <v>46046</v>
          </cell>
          <cell r="D1196" t="str">
            <v>Вероника 1996</v>
          </cell>
          <cell r="F1196">
            <v>4000</v>
          </cell>
        </row>
        <row r="1197">
          <cell r="A1197">
            <v>46046</v>
          </cell>
          <cell r="D1197" t="str">
            <v>Оганов А. С. 2106</v>
          </cell>
          <cell r="F1197">
            <v>4790</v>
          </cell>
        </row>
        <row r="1198">
          <cell r="A1198">
            <v>46046</v>
          </cell>
          <cell r="D1198" t="str">
            <v>Оганов А.С.7272</v>
          </cell>
          <cell r="F1198">
            <v>700</v>
          </cell>
        </row>
        <row r="1199">
          <cell r="A1199">
            <v>46046</v>
          </cell>
          <cell r="D1199" t="str">
            <v>Оганов А.С.7272</v>
          </cell>
          <cell r="F1199">
            <v>1195</v>
          </cell>
        </row>
        <row r="1200">
          <cell r="A1200">
            <v>46046</v>
          </cell>
          <cell r="D1200" t="str">
            <v>Оганов А.С.3007</v>
          </cell>
          <cell r="F1200">
            <v>4580</v>
          </cell>
        </row>
        <row r="1201">
          <cell r="A1201">
            <v>46046</v>
          </cell>
          <cell r="D1201" t="str">
            <v>Оганов А.С.3007</v>
          </cell>
          <cell r="F1201">
            <v>3180</v>
          </cell>
        </row>
        <row r="1202">
          <cell r="A1202">
            <v>46046</v>
          </cell>
          <cell r="D1202" t="str">
            <v>Оганов А.С.3007</v>
          </cell>
          <cell r="F1202">
            <v>1500</v>
          </cell>
        </row>
        <row r="1203">
          <cell r="A1203">
            <v>46046</v>
          </cell>
          <cell r="D1203" t="str">
            <v>Оганов А.С.1505</v>
          </cell>
          <cell r="F1203">
            <v>400</v>
          </cell>
        </row>
        <row r="1204">
          <cell r="A1204">
            <v>46046</v>
          </cell>
          <cell r="D1204" t="str">
            <v>Виктория 2502</v>
          </cell>
          <cell r="F1204">
            <v>690</v>
          </cell>
        </row>
        <row r="1205">
          <cell r="A1205">
            <v>46046</v>
          </cell>
          <cell r="D1205" t="str">
            <v>Оганов А.С.3007</v>
          </cell>
          <cell r="F1205">
            <v>2590</v>
          </cell>
        </row>
        <row r="1206">
          <cell r="A1206">
            <v>46046</v>
          </cell>
          <cell r="D1206" t="str">
            <v>Оганов А.С.3007</v>
          </cell>
          <cell r="F1206">
            <v>3000</v>
          </cell>
        </row>
        <row r="1207">
          <cell r="A1207">
            <v>46046</v>
          </cell>
          <cell r="D1207" t="str">
            <v>Виктория 2502</v>
          </cell>
          <cell r="F1207">
            <v>690</v>
          </cell>
        </row>
        <row r="1208">
          <cell r="A1208">
            <v>46046</v>
          </cell>
          <cell r="D1208" t="str">
            <v>Оганов А.С.7272</v>
          </cell>
          <cell r="F1208">
            <v>4790</v>
          </cell>
        </row>
        <row r="1209">
          <cell r="A1209">
            <v>46046</v>
          </cell>
          <cell r="D1209" t="str">
            <v>Виктория 2502</v>
          </cell>
          <cell r="F1209">
            <v>1200</v>
          </cell>
        </row>
        <row r="1210">
          <cell r="A1210">
            <v>46046</v>
          </cell>
          <cell r="D1210" t="str">
            <v>Виктория 2502</v>
          </cell>
          <cell r="F1210">
            <v>2290</v>
          </cell>
        </row>
        <row r="1211">
          <cell r="A1211">
            <v>46046</v>
          </cell>
          <cell r="D1211" t="str">
            <v>Оганов А.С.3007</v>
          </cell>
          <cell r="F1211">
            <v>1380</v>
          </cell>
        </row>
        <row r="1212">
          <cell r="A1212">
            <v>46046</v>
          </cell>
          <cell r="D1212" t="str">
            <v>Оганов А.С.3007</v>
          </cell>
          <cell r="F1212">
            <v>390</v>
          </cell>
        </row>
        <row r="1213">
          <cell r="A1213">
            <v>46046</v>
          </cell>
          <cell r="D1213" t="str">
            <v>Оганов А.С.3007</v>
          </cell>
          <cell r="F1213">
            <v>10000</v>
          </cell>
        </row>
        <row r="1214">
          <cell r="A1214">
            <v>46046</v>
          </cell>
          <cell r="D1214" t="str">
            <v>Оганов А.С.3007</v>
          </cell>
          <cell r="F1214">
            <v>0</v>
          </cell>
        </row>
        <row r="1215">
          <cell r="A1215">
            <v>46046</v>
          </cell>
          <cell r="D1215" t="str">
            <v>Оганов А.С.3007</v>
          </cell>
          <cell r="F1215">
            <v>4000</v>
          </cell>
        </row>
        <row r="1216">
          <cell r="A1216">
            <v>46046</v>
          </cell>
          <cell r="D1216" t="str">
            <v>Виктория 2502</v>
          </cell>
          <cell r="F1216">
            <v>2990</v>
          </cell>
        </row>
        <row r="1217">
          <cell r="A1217">
            <v>46046</v>
          </cell>
          <cell r="D1217" t="str">
            <v>Вероника 1996</v>
          </cell>
          <cell r="F1217">
            <v>1350</v>
          </cell>
        </row>
        <row r="1218">
          <cell r="A1218">
            <v>46046</v>
          </cell>
          <cell r="D1218" t="str">
            <v>Вероника 1996</v>
          </cell>
          <cell r="F1218">
            <v>1350</v>
          </cell>
        </row>
        <row r="1219">
          <cell r="A1219">
            <v>46046</v>
          </cell>
          <cell r="D1219" t="str">
            <v>Виктория 2502</v>
          </cell>
          <cell r="F1219">
            <v>1750</v>
          </cell>
        </row>
        <row r="1220">
          <cell r="A1220">
            <v>46046</v>
          </cell>
          <cell r="D1220" t="str">
            <v>Виктория 2502</v>
          </cell>
          <cell r="F1220">
            <v>2390</v>
          </cell>
        </row>
        <row r="1221">
          <cell r="A1221">
            <v>46046</v>
          </cell>
          <cell r="D1221" t="str">
            <v>Виктория 2502</v>
          </cell>
          <cell r="F1221">
            <v>2390</v>
          </cell>
        </row>
        <row r="1222">
          <cell r="A1222">
            <v>46046</v>
          </cell>
          <cell r="D1222" t="str">
            <v>Виктория 2502</v>
          </cell>
          <cell r="F1222">
            <v>2390</v>
          </cell>
        </row>
        <row r="1223">
          <cell r="A1223">
            <v>46046</v>
          </cell>
          <cell r="D1223" t="str">
            <v>Виктория 2502</v>
          </cell>
          <cell r="F1223">
            <v>2390</v>
          </cell>
        </row>
        <row r="1224">
          <cell r="A1224">
            <v>46046</v>
          </cell>
          <cell r="D1224" t="str">
            <v>Виктория 2502</v>
          </cell>
          <cell r="F1224">
            <v>2390</v>
          </cell>
        </row>
        <row r="1225">
          <cell r="A1225">
            <v>46046</v>
          </cell>
          <cell r="D1225" t="str">
            <v>Оганов А.С.7272</v>
          </cell>
          <cell r="F1225">
            <v>2980</v>
          </cell>
        </row>
        <row r="1226">
          <cell r="A1226">
            <v>46046</v>
          </cell>
          <cell r="D1226" t="str">
            <v>Оганов А.С.7272</v>
          </cell>
          <cell r="F1226">
            <v>980</v>
          </cell>
        </row>
        <row r="1227">
          <cell r="A1227">
            <v>46046</v>
          </cell>
          <cell r="D1227" t="str">
            <v>Оганов А.С.7272</v>
          </cell>
          <cell r="F1227">
            <v>2690</v>
          </cell>
        </row>
        <row r="1228">
          <cell r="A1228">
            <v>46046</v>
          </cell>
          <cell r="D1228" t="str">
            <v>Оганов А.С.7272</v>
          </cell>
          <cell r="F1228">
            <v>1390</v>
          </cell>
        </row>
        <row r="1229">
          <cell r="A1229">
            <v>46046</v>
          </cell>
          <cell r="D1229" t="str">
            <v>Вероника 1996</v>
          </cell>
          <cell r="F1229">
            <v>4000</v>
          </cell>
        </row>
        <row r="1230">
          <cell r="A1230">
            <v>46046</v>
          </cell>
          <cell r="D1230" t="str">
            <v>Вероника 1996</v>
          </cell>
          <cell r="F1230">
            <v>5000</v>
          </cell>
        </row>
        <row r="1231">
          <cell r="A1231">
            <v>46046</v>
          </cell>
          <cell r="D1231" t="str">
            <v>Оганов А. С. 2106</v>
          </cell>
          <cell r="F1231">
            <v>690</v>
          </cell>
        </row>
        <row r="1232">
          <cell r="A1232">
            <v>46046</v>
          </cell>
          <cell r="D1232" t="str">
            <v>Вероника 1996</v>
          </cell>
          <cell r="F1232">
            <v>2600</v>
          </cell>
        </row>
        <row r="1233">
          <cell r="A1233">
            <v>46046</v>
          </cell>
          <cell r="D1233" t="str">
            <v>Вероника 1996</v>
          </cell>
          <cell r="F1233">
            <v>2500</v>
          </cell>
        </row>
        <row r="1234">
          <cell r="A1234">
            <v>46046</v>
          </cell>
          <cell r="D1234" t="str">
            <v>Вероника 1996</v>
          </cell>
          <cell r="F1234">
            <v>1500</v>
          </cell>
        </row>
        <row r="1235">
          <cell r="A1235">
            <v>46046</v>
          </cell>
          <cell r="D1235" t="str">
            <v>Виктория 2502</v>
          </cell>
          <cell r="F1235">
            <v>0</v>
          </cell>
        </row>
        <row r="1236">
          <cell r="A1236">
            <v>46046</v>
          </cell>
          <cell r="D1236" t="str">
            <v>Оганов А.С.1505</v>
          </cell>
          <cell r="F1236">
            <v>10740</v>
          </cell>
        </row>
        <row r="1237">
          <cell r="A1237">
            <v>46046</v>
          </cell>
          <cell r="D1237" t="str">
            <v>Вероника 1996</v>
          </cell>
          <cell r="F1237">
            <v>8000</v>
          </cell>
        </row>
        <row r="1238">
          <cell r="A1238">
            <v>46046</v>
          </cell>
          <cell r="D1238" t="str">
            <v>Вероника 1996</v>
          </cell>
          <cell r="F1238">
            <v>1200</v>
          </cell>
        </row>
        <row r="1239">
          <cell r="A1239">
            <v>46046</v>
          </cell>
          <cell r="D1239" t="str">
            <v>Вероника 1996</v>
          </cell>
          <cell r="F1239">
            <v>800</v>
          </cell>
        </row>
        <row r="1240">
          <cell r="A1240">
            <v>46046</v>
          </cell>
          <cell r="D1240" t="str">
            <v>Вероника 1996</v>
          </cell>
          <cell r="F1240">
            <v>2500</v>
          </cell>
        </row>
        <row r="1241">
          <cell r="A1241">
            <v>46046</v>
          </cell>
          <cell r="D1241" t="str">
            <v>Оганов А.С.1505</v>
          </cell>
          <cell r="F1241">
            <v>3498</v>
          </cell>
        </row>
        <row r="1242">
          <cell r="A1242">
            <v>46047</v>
          </cell>
          <cell r="D1242" t="str">
            <v>Оганов А.С.0102</v>
          </cell>
          <cell r="F1242">
            <v>1750</v>
          </cell>
        </row>
        <row r="1243">
          <cell r="A1243">
            <v>46047</v>
          </cell>
          <cell r="D1243" t="str">
            <v>Оганов А.С.0102</v>
          </cell>
          <cell r="F1243">
            <v>3000</v>
          </cell>
        </row>
        <row r="1244">
          <cell r="A1244">
            <v>46047</v>
          </cell>
          <cell r="D1244" t="str">
            <v>Оганов А.С.3007</v>
          </cell>
          <cell r="F1244">
            <v>1890</v>
          </cell>
        </row>
        <row r="1245">
          <cell r="A1245">
            <v>46047</v>
          </cell>
          <cell r="D1245" t="str">
            <v>Оганов А. С. 2106</v>
          </cell>
          <cell r="F1245">
            <v>0</v>
          </cell>
        </row>
        <row r="1246">
          <cell r="A1246">
            <v>46047</v>
          </cell>
          <cell r="D1246" t="str">
            <v>Оганов А.С.3007</v>
          </cell>
          <cell r="F1246">
            <v>2860</v>
          </cell>
        </row>
        <row r="1247">
          <cell r="A1247">
            <v>46047</v>
          </cell>
          <cell r="D1247" t="str">
            <v>Оганов А.С.3007</v>
          </cell>
          <cell r="F1247">
            <v>1490</v>
          </cell>
        </row>
        <row r="1248">
          <cell r="A1248">
            <v>46047</v>
          </cell>
          <cell r="D1248" t="str">
            <v>Виктория 2502</v>
          </cell>
          <cell r="F1248">
            <v>2590</v>
          </cell>
        </row>
        <row r="1249">
          <cell r="A1249">
            <v>46047</v>
          </cell>
          <cell r="D1249" t="str">
            <v>Вероника 1996</v>
          </cell>
          <cell r="F1249">
            <v>1600</v>
          </cell>
        </row>
        <row r="1250">
          <cell r="A1250">
            <v>46047</v>
          </cell>
          <cell r="D1250" t="str">
            <v>Вероника 1996</v>
          </cell>
          <cell r="F1250">
            <v>875</v>
          </cell>
        </row>
        <row r="1251">
          <cell r="A1251">
            <v>46047</v>
          </cell>
          <cell r="D1251" t="str">
            <v>Оганов А.С.0102</v>
          </cell>
          <cell r="F1251">
            <v>1490</v>
          </cell>
        </row>
        <row r="1252">
          <cell r="A1252">
            <v>46047</v>
          </cell>
          <cell r="D1252" t="str">
            <v>Оганов А.С.0102</v>
          </cell>
          <cell r="F1252">
            <v>2000</v>
          </cell>
        </row>
        <row r="1253">
          <cell r="A1253">
            <v>46047</v>
          </cell>
          <cell r="D1253" t="str">
            <v>Оганов А.С.0102</v>
          </cell>
          <cell r="F1253">
            <v>875</v>
          </cell>
        </row>
        <row r="1254">
          <cell r="A1254">
            <v>46047</v>
          </cell>
          <cell r="D1254" t="str">
            <v>Оганов А. С. 2106</v>
          </cell>
          <cell r="F1254">
            <v>690</v>
          </cell>
        </row>
        <row r="1255">
          <cell r="A1255">
            <v>46047</v>
          </cell>
          <cell r="D1255" t="str">
            <v>Оганов А. С. 2106</v>
          </cell>
          <cell r="F1255">
            <v>2090</v>
          </cell>
        </row>
        <row r="1256">
          <cell r="A1256">
            <v>46048</v>
          </cell>
          <cell r="D1256" t="str">
            <v>Оганов А.С.5984</v>
          </cell>
          <cell r="F1256">
            <v>1490</v>
          </cell>
        </row>
        <row r="1257">
          <cell r="A1257">
            <v>46047</v>
          </cell>
          <cell r="D1257" t="str">
            <v>Оганов А. С. 2106</v>
          </cell>
          <cell r="F1257">
            <v>950</v>
          </cell>
        </row>
        <row r="1258">
          <cell r="A1258">
            <v>46047</v>
          </cell>
          <cell r="D1258" t="str">
            <v>Оганов А.С.1505</v>
          </cell>
          <cell r="F1258">
            <v>5000</v>
          </cell>
        </row>
        <row r="1259">
          <cell r="A1259">
            <v>46048</v>
          </cell>
          <cell r="D1259" t="str">
            <v>Екатерина 2201</v>
          </cell>
          <cell r="F1259">
            <v>3290</v>
          </cell>
        </row>
        <row r="1260">
          <cell r="A1260">
            <v>46048</v>
          </cell>
          <cell r="D1260" t="str">
            <v>Екатерина 2201</v>
          </cell>
          <cell r="F1260">
            <v>1580</v>
          </cell>
        </row>
        <row r="1261">
          <cell r="A1261">
            <v>46047</v>
          </cell>
          <cell r="D1261" t="str">
            <v>Оганов А. С. 2106</v>
          </cell>
          <cell r="F1261">
            <v>1195</v>
          </cell>
        </row>
        <row r="1262">
          <cell r="A1262">
            <v>46047</v>
          </cell>
          <cell r="D1262" t="str">
            <v>Вероника 1996</v>
          </cell>
          <cell r="F1262">
            <v>4000</v>
          </cell>
        </row>
        <row r="1263">
          <cell r="A1263">
            <v>46047</v>
          </cell>
          <cell r="D1263" t="str">
            <v>Оганов А.С.3007</v>
          </cell>
          <cell r="F1263">
            <v>1300</v>
          </cell>
        </row>
        <row r="1264">
          <cell r="A1264">
            <v>46047</v>
          </cell>
          <cell r="D1264" t="str">
            <v>Оганов А.С.3007</v>
          </cell>
          <cell r="F1264">
            <v>3000</v>
          </cell>
        </row>
        <row r="1265">
          <cell r="A1265">
            <v>46047</v>
          </cell>
          <cell r="D1265" t="str">
            <v>Оганов А.С.3007</v>
          </cell>
          <cell r="F1265">
            <v>2590</v>
          </cell>
        </row>
        <row r="1266">
          <cell r="A1266">
            <v>46047</v>
          </cell>
          <cell r="D1266" t="str">
            <v>Вероника 1996</v>
          </cell>
          <cell r="F1266">
            <v>0</v>
          </cell>
        </row>
        <row r="1267">
          <cell r="A1267">
            <v>46047</v>
          </cell>
          <cell r="D1267" t="str">
            <v>Виктория 2502</v>
          </cell>
          <cell r="F1267">
            <v>490</v>
          </cell>
        </row>
        <row r="1268">
          <cell r="A1268">
            <v>46047</v>
          </cell>
          <cell r="D1268" t="str">
            <v>Вероника 1996</v>
          </cell>
          <cell r="F1268">
            <v>600</v>
          </cell>
        </row>
        <row r="1269">
          <cell r="A1269">
            <v>46047</v>
          </cell>
          <cell r="D1269" t="str">
            <v>Вероника 1996</v>
          </cell>
          <cell r="F1269">
            <v>3000</v>
          </cell>
        </row>
        <row r="1270">
          <cell r="A1270">
            <v>46047</v>
          </cell>
          <cell r="D1270" t="str">
            <v>Вероника 1996</v>
          </cell>
          <cell r="F1270">
            <v>600</v>
          </cell>
        </row>
        <row r="1271">
          <cell r="A1271">
            <v>46047</v>
          </cell>
          <cell r="D1271" t="str">
            <v>Виктория 2502</v>
          </cell>
          <cell r="F1271">
            <v>690</v>
          </cell>
        </row>
        <row r="1272">
          <cell r="A1272">
            <v>46047</v>
          </cell>
          <cell r="D1272" t="str">
            <v>Оганов А.С.3007</v>
          </cell>
          <cell r="F1272">
            <v>5500</v>
          </cell>
        </row>
        <row r="1273">
          <cell r="A1273">
            <v>46047</v>
          </cell>
          <cell r="D1273" t="str">
            <v>Оганов А.С.3007</v>
          </cell>
          <cell r="F1273">
            <v>3500</v>
          </cell>
        </row>
        <row r="1274">
          <cell r="A1274">
            <v>46047</v>
          </cell>
          <cell r="D1274" t="str">
            <v>Оганов А.С.3007</v>
          </cell>
          <cell r="F1274">
            <v>1490</v>
          </cell>
        </row>
        <row r="1275">
          <cell r="A1275">
            <v>46047</v>
          </cell>
          <cell r="D1275" t="str">
            <v>Оганов А.С.3007</v>
          </cell>
          <cell r="F1275">
            <v>1380</v>
          </cell>
        </row>
        <row r="1276">
          <cell r="A1276">
            <v>46047</v>
          </cell>
          <cell r="D1276" t="str">
            <v>Вероника 1996</v>
          </cell>
          <cell r="F1276">
            <v>1180</v>
          </cell>
        </row>
        <row r="1277">
          <cell r="A1277">
            <v>46047</v>
          </cell>
          <cell r="D1277" t="str">
            <v>Вероника 1996</v>
          </cell>
          <cell r="F1277">
            <v>1580</v>
          </cell>
        </row>
        <row r="1278">
          <cell r="A1278">
            <v>46049</v>
          </cell>
          <cell r="D1278" t="str">
            <v>Оганов А.С.5984</v>
          </cell>
          <cell r="F1278">
            <v>1490</v>
          </cell>
        </row>
        <row r="1279">
          <cell r="A1279">
            <v>46047</v>
          </cell>
          <cell r="D1279" t="str">
            <v>Виктория 2502</v>
          </cell>
          <cell r="F1279">
            <v>2000</v>
          </cell>
        </row>
        <row r="1280">
          <cell r="A1280">
            <v>46047</v>
          </cell>
          <cell r="D1280" t="str">
            <v>Вероника 1996</v>
          </cell>
          <cell r="F1280">
            <v>2980</v>
          </cell>
        </row>
        <row r="1281">
          <cell r="A1281">
            <v>46047</v>
          </cell>
          <cell r="D1281" t="str">
            <v>Вероника 1996</v>
          </cell>
          <cell r="F1281">
            <v>2500</v>
          </cell>
        </row>
        <row r="1282">
          <cell r="A1282">
            <v>46047</v>
          </cell>
          <cell r="D1282" t="str">
            <v>Оганов А. С. 2106</v>
          </cell>
          <cell r="F1282">
            <v>5500</v>
          </cell>
        </row>
        <row r="1283">
          <cell r="A1283">
            <v>46047</v>
          </cell>
          <cell r="D1283" t="str">
            <v>Оганов А. С. 2106</v>
          </cell>
          <cell r="F1283">
            <v>490</v>
          </cell>
        </row>
        <row r="1284">
          <cell r="A1284">
            <v>46047</v>
          </cell>
          <cell r="D1284" t="str">
            <v>Вероника 1996</v>
          </cell>
          <cell r="F1284">
            <v>2995</v>
          </cell>
        </row>
        <row r="1285">
          <cell r="A1285">
            <v>46047</v>
          </cell>
          <cell r="D1285" t="str">
            <v>Вероника 1996</v>
          </cell>
          <cell r="F1285">
            <v>2500</v>
          </cell>
        </row>
        <row r="1286">
          <cell r="A1286">
            <v>46047</v>
          </cell>
          <cell r="D1286" t="str">
            <v>Вероника 1996</v>
          </cell>
          <cell r="F1286">
            <v>800</v>
          </cell>
        </row>
        <row r="1287">
          <cell r="A1287">
            <v>46047</v>
          </cell>
          <cell r="D1287" t="str">
            <v>Вероника 1996</v>
          </cell>
          <cell r="F1287">
            <v>1390</v>
          </cell>
        </row>
        <row r="1288">
          <cell r="A1288">
            <v>46047</v>
          </cell>
          <cell r="D1288" t="str">
            <v>Вероника 1996</v>
          </cell>
          <cell r="F1288">
            <v>1000</v>
          </cell>
        </row>
        <row r="1289">
          <cell r="A1289">
            <v>46047</v>
          </cell>
          <cell r="D1289" t="str">
            <v>Вероника 1996</v>
          </cell>
          <cell r="F1289">
            <v>1290</v>
          </cell>
        </row>
        <row r="1290">
          <cell r="A1290">
            <v>46047</v>
          </cell>
          <cell r="D1290" t="str">
            <v>Вероника 1996</v>
          </cell>
          <cell r="F1290">
            <v>2490</v>
          </cell>
        </row>
        <row r="1291">
          <cell r="A1291">
            <v>46047</v>
          </cell>
          <cell r="D1291" t="str">
            <v>Оганов А.С.0102</v>
          </cell>
          <cell r="F1291">
            <v>1490</v>
          </cell>
        </row>
        <row r="1292">
          <cell r="A1292">
            <v>46047</v>
          </cell>
          <cell r="D1292" t="str">
            <v>Оганов А.С.0102</v>
          </cell>
          <cell r="F1292">
            <v>490</v>
          </cell>
        </row>
        <row r="1293">
          <cell r="A1293">
            <v>46047</v>
          </cell>
          <cell r="D1293" t="str">
            <v>Оганов А.С.3007</v>
          </cell>
          <cell r="F1293">
            <v>1000</v>
          </cell>
        </row>
        <row r="1294">
          <cell r="A1294">
            <v>46047</v>
          </cell>
          <cell r="D1294" t="str">
            <v>Оганов А. С. 2106</v>
          </cell>
          <cell r="F1294">
            <v>1490</v>
          </cell>
        </row>
        <row r="1295">
          <cell r="A1295">
            <v>46047</v>
          </cell>
          <cell r="D1295" t="str">
            <v>Оганов А. С. 2106</v>
          </cell>
          <cell r="F1295">
            <v>2190</v>
          </cell>
        </row>
        <row r="1296">
          <cell r="A1296">
            <v>46047</v>
          </cell>
          <cell r="D1296" t="str">
            <v>Виктория 2502</v>
          </cell>
          <cell r="F1296">
            <v>2390</v>
          </cell>
        </row>
        <row r="1297">
          <cell r="A1297">
            <v>46047</v>
          </cell>
          <cell r="D1297" t="str">
            <v>Оганов А.С.1505</v>
          </cell>
          <cell r="F1297">
            <v>2690</v>
          </cell>
        </row>
        <row r="1298">
          <cell r="A1298">
            <v>46047</v>
          </cell>
          <cell r="D1298" t="str">
            <v>Оганов А.С.1505</v>
          </cell>
          <cell r="F1298">
            <v>2590</v>
          </cell>
        </row>
        <row r="1299">
          <cell r="A1299">
            <v>46047</v>
          </cell>
          <cell r="D1299" t="str">
            <v>Оганов А.С.1505</v>
          </cell>
          <cell r="F1299">
            <v>1390</v>
          </cell>
        </row>
        <row r="1300">
          <cell r="A1300">
            <v>46047</v>
          </cell>
          <cell r="D1300" t="str">
            <v>Оганов А.С.3007</v>
          </cell>
          <cell r="F1300">
            <v>1580</v>
          </cell>
        </row>
        <row r="1301">
          <cell r="A1301">
            <v>46047</v>
          </cell>
          <cell r="D1301" t="str">
            <v>Оганов А.С.3007</v>
          </cell>
          <cell r="F1301">
            <v>0</v>
          </cell>
        </row>
        <row r="1302">
          <cell r="A1302">
            <v>46047</v>
          </cell>
          <cell r="D1302" t="str">
            <v>Оганов А.С.3007</v>
          </cell>
          <cell r="F1302">
            <v>4000</v>
          </cell>
        </row>
        <row r="1303">
          <cell r="A1303">
            <v>46047</v>
          </cell>
          <cell r="D1303" t="str">
            <v>Оганов А.С.1505</v>
          </cell>
          <cell r="F1303">
            <v>1690</v>
          </cell>
        </row>
        <row r="1304">
          <cell r="A1304">
            <v>46047</v>
          </cell>
          <cell r="D1304" t="str">
            <v>Виктория 2502</v>
          </cell>
          <cell r="F1304">
            <v>1990</v>
          </cell>
        </row>
        <row r="1305">
          <cell r="A1305">
            <v>46047</v>
          </cell>
          <cell r="D1305" t="str">
            <v>Вероника 1996</v>
          </cell>
          <cell r="F1305">
            <v>2000</v>
          </cell>
        </row>
        <row r="1306">
          <cell r="A1306">
            <v>46047</v>
          </cell>
          <cell r="D1306" t="str">
            <v>Вероника 1996</v>
          </cell>
          <cell r="F1306">
            <v>1000</v>
          </cell>
        </row>
        <row r="1307">
          <cell r="A1307">
            <v>46047</v>
          </cell>
          <cell r="D1307" t="str">
            <v>Вероника 1996</v>
          </cell>
          <cell r="F1307">
            <v>800</v>
          </cell>
        </row>
        <row r="1308">
          <cell r="A1308">
            <v>46047</v>
          </cell>
          <cell r="D1308" t="str">
            <v>Вероника 1996</v>
          </cell>
          <cell r="F1308">
            <v>3590</v>
          </cell>
        </row>
        <row r="1309">
          <cell r="A1309">
            <v>46047</v>
          </cell>
          <cell r="D1309" t="str">
            <v>Вероника 1996</v>
          </cell>
          <cell r="F1309">
            <v>1000</v>
          </cell>
        </row>
        <row r="1310">
          <cell r="A1310">
            <v>46047</v>
          </cell>
          <cell r="D1310" t="str">
            <v>Вероника 1996</v>
          </cell>
          <cell r="F1310">
            <v>1000</v>
          </cell>
        </row>
        <row r="1311">
          <cell r="A1311">
            <v>46047</v>
          </cell>
          <cell r="D1311" t="str">
            <v>Вероника 1996</v>
          </cell>
          <cell r="F1311">
            <v>700</v>
          </cell>
        </row>
        <row r="1312">
          <cell r="A1312">
            <v>46047</v>
          </cell>
          <cell r="D1312" t="str">
            <v>Вероника 1996</v>
          </cell>
          <cell r="F1312">
            <v>2000</v>
          </cell>
        </row>
        <row r="1313">
          <cell r="A1313">
            <v>46047</v>
          </cell>
          <cell r="D1313" t="str">
            <v>Виктория 2502</v>
          </cell>
          <cell r="F1313">
            <v>2980</v>
          </cell>
        </row>
        <row r="1314">
          <cell r="A1314">
            <v>46047</v>
          </cell>
          <cell r="D1314" t="str">
            <v>Виктория 2502</v>
          </cell>
          <cell r="F1314">
            <v>2980</v>
          </cell>
        </row>
        <row r="1315">
          <cell r="A1315">
            <v>46047</v>
          </cell>
          <cell r="D1315" t="str">
            <v>Виктория 2502</v>
          </cell>
          <cell r="F1315">
            <v>2980</v>
          </cell>
        </row>
        <row r="1316">
          <cell r="A1316">
            <v>46047</v>
          </cell>
          <cell r="D1316" t="str">
            <v>Виктория 2502</v>
          </cell>
          <cell r="F1316">
            <v>2980</v>
          </cell>
        </row>
        <row r="1317">
          <cell r="A1317">
            <v>46047</v>
          </cell>
          <cell r="D1317" t="str">
            <v>Оганов А.С.3007</v>
          </cell>
          <cell r="F1317">
            <v>1390</v>
          </cell>
        </row>
        <row r="1318">
          <cell r="A1318">
            <v>46047</v>
          </cell>
          <cell r="D1318" t="str">
            <v>Оганов А. С. 2106</v>
          </cell>
          <cell r="F1318">
            <v>2500</v>
          </cell>
        </row>
        <row r="1319">
          <cell r="A1319">
            <v>46047</v>
          </cell>
          <cell r="D1319" t="str">
            <v>Оганов А.С.1505</v>
          </cell>
          <cell r="F1319">
            <v>1990</v>
          </cell>
        </row>
        <row r="1320">
          <cell r="A1320">
            <v>46047</v>
          </cell>
          <cell r="D1320" t="str">
            <v>Виктория 2502</v>
          </cell>
          <cell r="F1320">
            <v>1690</v>
          </cell>
        </row>
        <row r="1321">
          <cell r="A1321">
            <v>46048</v>
          </cell>
          <cell r="D1321" t="str">
            <v>Екатерина 2201</v>
          </cell>
          <cell r="F1321">
            <v>1180</v>
          </cell>
        </row>
        <row r="1322">
          <cell r="A1322">
            <v>46048</v>
          </cell>
          <cell r="D1322" t="str">
            <v>Екатерина 2201</v>
          </cell>
          <cell r="F1322">
            <v>2590</v>
          </cell>
        </row>
        <row r="1323">
          <cell r="A1323">
            <v>46048</v>
          </cell>
          <cell r="D1323" t="str">
            <v>Вероника 1996</v>
          </cell>
          <cell r="F1323">
            <v>1200</v>
          </cell>
        </row>
        <row r="1324">
          <cell r="A1324">
            <v>46048</v>
          </cell>
          <cell r="D1324" t="str">
            <v>Вероника 1996</v>
          </cell>
          <cell r="F1324">
            <v>3590</v>
          </cell>
        </row>
        <row r="1325">
          <cell r="A1325">
            <v>46048</v>
          </cell>
          <cell r="D1325" t="str">
            <v>Оганов А.С.0102</v>
          </cell>
          <cell r="F1325">
            <v>8900</v>
          </cell>
        </row>
        <row r="1326">
          <cell r="A1326">
            <v>46048</v>
          </cell>
          <cell r="D1326" t="str">
            <v>Оганов А.С.0102</v>
          </cell>
          <cell r="F1326">
            <v>3890</v>
          </cell>
        </row>
        <row r="1327">
          <cell r="A1327">
            <v>46048</v>
          </cell>
          <cell r="D1327" t="str">
            <v>Оганов А.С.0102</v>
          </cell>
          <cell r="F1327">
            <v>1790</v>
          </cell>
        </row>
        <row r="1328">
          <cell r="A1328">
            <v>46048</v>
          </cell>
          <cell r="D1328" t="str">
            <v>Оганов А.С.0102</v>
          </cell>
          <cell r="F1328">
            <v>2860</v>
          </cell>
        </row>
        <row r="1329">
          <cell r="A1329">
            <v>46048</v>
          </cell>
          <cell r="D1329" t="str">
            <v>Оганов А.С.0102</v>
          </cell>
          <cell r="F1329">
            <v>0</v>
          </cell>
        </row>
        <row r="1330">
          <cell r="A1330">
            <v>46048</v>
          </cell>
          <cell r="D1330" t="str">
            <v>Оганов А.С.0102</v>
          </cell>
          <cell r="F1330">
            <v>0</v>
          </cell>
        </row>
        <row r="1331">
          <cell r="A1331">
            <v>46048</v>
          </cell>
          <cell r="D1331" t="str">
            <v>Екатерина 2201</v>
          </cell>
          <cell r="F1331">
            <v>1500</v>
          </cell>
        </row>
        <row r="1332">
          <cell r="A1332">
            <v>46048</v>
          </cell>
          <cell r="D1332" t="str">
            <v>Любовь 1302</v>
          </cell>
          <cell r="F1332">
            <v>2490</v>
          </cell>
        </row>
        <row r="1333">
          <cell r="A1333">
            <v>46048</v>
          </cell>
          <cell r="D1333" t="str">
            <v>Вероника 1996</v>
          </cell>
          <cell r="F1333">
            <v>200</v>
          </cell>
        </row>
        <row r="1334">
          <cell r="A1334">
            <v>46048</v>
          </cell>
          <cell r="D1334" t="str">
            <v>Оганов А.С.2404</v>
          </cell>
          <cell r="F1334">
            <v>980</v>
          </cell>
        </row>
        <row r="1335">
          <cell r="A1335">
            <v>46048</v>
          </cell>
          <cell r="D1335" t="str">
            <v>Оганов А.С.2404</v>
          </cell>
          <cell r="F1335">
            <v>950</v>
          </cell>
        </row>
        <row r="1336">
          <cell r="A1336">
            <v>46048</v>
          </cell>
          <cell r="D1336" t="str">
            <v>Оганов А.С.2404</v>
          </cell>
          <cell r="F1336">
            <v>1500</v>
          </cell>
        </row>
        <row r="1337">
          <cell r="A1337">
            <v>46048</v>
          </cell>
          <cell r="D1337" t="str">
            <v>Оганов А.С.2404</v>
          </cell>
          <cell r="F1337">
            <v>1000</v>
          </cell>
        </row>
        <row r="1338">
          <cell r="A1338">
            <v>46048</v>
          </cell>
          <cell r="D1338" t="str">
            <v>Оганов А.С.2404</v>
          </cell>
          <cell r="F1338">
            <v>1290</v>
          </cell>
        </row>
        <row r="1339">
          <cell r="A1339">
            <v>46048</v>
          </cell>
          <cell r="D1339" t="str">
            <v>Оганов А.С.5984</v>
          </cell>
          <cell r="F1339">
            <v>2980</v>
          </cell>
        </row>
        <row r="1340">
          <cell r="A1340">
            <v>46048</v>
          </cell>
          <cell r="D1340" t="str">
            <v>Оганов А.С.0102</v>
          </cell>
          <cell r="F1340">
            <v>990</v>
          </cell>
        </row>
        <row r="1341">
          <cell r="A1341">
            <v>46048</v>
          </cell>
          <cell r="D1341" t="str">
            <v>Любовь 1302</v>
          </cell>
          <cell r="F1341">
            <v>990</v>
          </cell>
        </row>
        <row r="1342">
          <cell r="A1342">
            <v>46048</v>
          </cell>
          <cell r="D1342" t="str">
            <v>Оганов А.С.5984</v>
          </cell>
          <cell r="F1342">
            <v>1490</v>
          </cell>
        </row>
        <row r="1343">
          <cell r="A1343">
            <v>46048</v>
          </cell>
          <cell r="D1343" t="str">
            <v>Оганов А.С.5984</v>
          </cell>
          <cell r="F1343">
            <v>3000</v>
          </cell>
        </row>
        <row r="1344">
          <cell r="A1344">
            <v>46048</v>
          </cell>
          <cell r="D1344" t="str">
            <v>Оганов А.С.5984</v>
          </cell>
          <cell r="F1344">
            <v>4000</v>
          </cell>
        </row>
        <row r="1345">
          <cell r="A1345">
            <v>46048</v>
          </cell>
          <cell r="D1345" t="str">
            <v>Оганов А.С.5984</v>
          </cell>
          <cell r="F1345">
            <v>2370</v>
          </cell>
        </row>
        <row r="1346">
          <cell r="A1346">
            <v>46048</v>
          </cell>
          <cell r="D1346" t="str">
            <v>Оганов А.С.2404</v>
          </cell>
          <cell r="F1346">
            <v>5500</v>
          </cell>
        </row>
        <row r="1347">
          <cell r="A1347">
            <v>46048</v>
          </cell>
          <cell r="D1347" t="str">
            <v>Вероника 1996</v>
          </cell>
          <cell r="F1347">
            <v>0</v>
          </cell>
        </row>
        <row r="1348">
          <cell r="A1348">
            <v>46048</v>
          </cell>
          <cell r="D1348" t="str">
            <v>Вероника 1996</v>
          </cell>
          <cell r="F1348">
            <v>600</v>
          </cell>
        </row>
        <row r="1349">
          <cell r="A1349">
            <v>46048</v>
          </cell>
          <cell r="D1349" t="str">
            <v>Вероника 1996</v>
          </cell>
          <cell r="F1349">
            <v>0</v>
          </cell>
        </row>
        <row r="1350">
          <cell r="A1350">
            <v>46048</v>
          </cell>
          <cell r="D1350" t="str">
            <v>Вероника 1996</v>
          </cell>
          <cell r="F1350">
            <v>2500</v>
          </cell>
        </row>
        <row r="1351">
          <cell r="A1351">
            <v>46048</v>
          </cell>
          <cell r="D1351" t="str">
            <v>Вероника 1996</v>
          </cell>
          <cell r="F1351">
            <v>2000</v>
          </cell>
        </row>
        <row r="1352">
          <cell r="A1352">
            <v>46048</v>
          </cell>
          <cell r="D1352" t="str">
            <v>Вероника 1996</v>
          </cell>
          <cell r="F1352">
            <v>1290</v>
          </cell>
        </row>
        <row r="1353">
          <cell r="A1353">
            <v>46048</v>
          </cell>
          <cell r="D1353" t="str">
            <v>Вероника 1996</v>
          </cell>
          <cell r="F1353">
            <v>3590</v>
          </cell>
        </row>
        <row r="1354">
          <cell r="A1354">
            <v>46048</v>
          </cell>
          <cell r="D1354" t="str">
            <v>Вероника 1996</v>
          </cell>
          <cell r="F1354">
            <v>3000</v>
          </cell>
        </row>
        <row r="1355">
          <cell r="A1355">
            <v>46048</v>
          </cell>
          <cell r="D1355" t="str">
            <v>Вероника 1996</v>
          </cell>
          <cell r="F1355">
            <v>1000</v>
          </cell>
        </row>
        <row r="1356">
          <cell r="A1356">
            <v>46048</v>
          </cell>
          <cell r="D1356" t="str">
            <v>Вероника 1996</v>
          </cell>
          <cell r="F1356">
            <v>3590</v>
          </cell>
        </row>
        <row r="1357">
          <cell r="A1357">
            <v>46048</v>
          </cell>
          <cell r="D1357" t="str">
            <v>Вероника 1996</v>
          </cell>
          <cell r="F1357">
            <v>9000</v>
          </cell>
        </row>
        <row r="1358">
          <cell r="A1358">
            <v>46048</v>
          </cell>
          <cell r="D1358" t="str">
            <v>Вероника 1996</v>
          </cell>
          <cell r="F1358">
            <v>9000</v>
          </cell>
        </row>
        <row r="1359">
          <cell r="A1359">
            <v>46048</v>
          </cell>
          <cell r="D1359" t="str">
            <v>Оганов А.С.0102</v>
          </cell>
          <cell r="F1359">
            <v>2980</v>
          </cell>
        </row>
        <row r="1360">
          <cell r="A1360">
            <v>46048</v>
          </cell>
          <cell r="D1360" t="str">
            <v>Оганов А.С.0102</v>
          </cell>
          <cell r="F1360">
            <v>0</v>
          </cell>
        </row>
        <row r="1361">
          <cell r="A1361">
            <v>46048</v>
          </cell>
          <cell r="D1361" t="str">
            <v>Оганов А.С.0102</v>
          </cell>
          <cell r="F1361">
            <v>2500</v>
          </cell>
        </row>
        <row r="1362">
          <cell r="A1362">
            <v>46048</v>
          </cell>
          <cell r="D1362" t="str">
            <v>Оганов А.С.2404</v>
          </cell>
          <cell r="F1362">
            <v>2980</v>
          </cell>
        </row>
        <row r="1363">
          <cell r="A1363">
            <v>46048</v>
          </cell>
          <cell r="D1363" t="str">
            <v>Вероника 1996</v>
          </cell>
          <cell r="F1363">
            <v>1000</v>
          </cell>
        </row>
        <row r="1364">
          <cell r="A1364">
            <v>46048</v>
          </cell>
          <cell r="D1364" t="str">
            <v>Вероника 1996</v>
          </cell>
          <cell r="F1364">
            <v>2860</v>
          </cell>
        </row>
        <row r="1365">
          <cell r="A1365">
            <v>46048</v>
          </cell>
          <cell r="D1365" t="str">
            <v>Вероника 1996</v>
          </cell>
          <cell r="F1365">
            <v>1400</v>
          </cell>
        </row>
        <row r="1366">
          <cell r="A1366">
            <v>46048</v>
          </cell>
          <cell r="D1366" t="str">
            <v>Вероника 1996</v>
          </cell>
          <cell r="F1366">
            <v>1290</v>
          </cell>
        </row>
        <row r="1367">
          <cell r="A1367">
            <v>46048</v>
          </cell>
          <cell r="D1367" t="str">
            <v>Вероника 1996</v>
          </cell>
          <cell r="F1367">
            <v>2490</v>
          </cell>
        </row>
        <row r="1368">
          <cell r="A1368">
            <v>46048</v>
          </cell>
          <cell r="D1368" t="str">
            <v>Вероника 1996</v>
          </cell>
          <cell r="F1368">
            <v>3000</v>
          </cell>
        </row>
        <row r="1369">
          <cell r="A1369">
            <v>46048</v>
          </cell>
          <cell r="D1369" t="str">
            <v>Вероника 1996</v>
          </cell>
          <cell r="F1369">
            <v>1500</v>
          </cell>
        </row>
        <row r="1370">
          <cell r="A1370">
            <v>46048</v>
          </cell>
          <cell r="D1370" t="str">
            <v>Вероника 1996</v>
          </cell>
          <cell r="F1370">
            <v>2500</v>
          </cell>
        </row>
        <row r="1371">
          <cell r="A1371">
            <v>46048</v>
          </cell>
          <cell r="D1371" t="str">
            <v>Вероника 1996</v>
          </cell>
          <cell r="F1371">
            <v>1500</v>
          </cell>
        </row>
        <row r="1372">
          <cell r="A1372">
            <v>46048</v>
          </cell>
          <cell r="D1372" t="str">
            <v>Вероника 1996</v>
          </cell>
          <cell r="F1372">
            <v>0</v>
          </cell>
        </row>
        <row r="1373">
          <cell r="A1373">
            <v>46048</v>
          </cell>
          <cell r="D1373" t="str">
            <v>Вероника 1996</v>
          </cell>
          <cell r="F1373">
            <v>0</v>
          </cell>
        </row>
        <row r="1374">
          <cell r="A1374">
            <v>46048</v>
          </cell>
          <cell r="D1374" t="str">
            <v>Вероника 1996</v>
          </cell>
          <cell r="F1374">
            <v>4000</v>
          </cell>
        </row>
        <row r="1375">
          <cell r="A1375">
            <v>46048</v>
          </cell>
          <cell r="D1375" t="str">
            <v>Любовь 1302</v>
          </cell>
          <cell r="F1375">
            <v>4500</v>
          </cell>
        </row>
        <row r="1376">
          <cell r="A1376">
            <v>46048</v>
          </cell>
          <cell r="D1376" t="str">
            <v>Вероника 1996</v>
          </cell>
          <cell r="F1376">
            <v>1560</v>
          </cell>
        </row>
        <row r="1377">
          <cell r="A1377">
            <v>46048</v>
          </cell>
          <cell r="D1377" t="str">
            <v>Оганов А.С.2404</v>
          </cell>
          <cell r="F1377">
            <v>5500</v>
          </cell>
        </row>
        <row r="1378">
          <cell r="A1378">
            <v>46048</v>
          </cell>
          <cell r="D1378" t="str">
            <v>Вероника 1996</v>
          </cell>
          <cell r="F1378">
            <v>1000</v>
          </cell>
        </row>
        <row r="1379">
          <cell r="A1379">
            <v>46048</v>
          </cell>
          <cell r="D1379" t="str">
            <v>Оганов А.С.5984</v>
          </cell>
          <cell r="F1379">
            <v>6000</v>
          </cell>
        </row>
        <row r="1380">
          <cell r="A1380">
            <v>46048</v>
          </cell>
          <cell r="D1380" t="str">
            <v>Вероника 1996</v>
          </cell>
          <cell r="F1380">
            <v>5000</v>
          </cell>
        </row>
        <row r="1381">
          <cell r="A1381">
            <v>46048</v>
          </cell>
          <cell r="D1381" t="str">
            <v>Вероника 1996</v>
          </cell>
          <cell r="F1381">
            <v>1300</v>
          </cell>
        </row>
        <row r="1382">
          <cell r="A1382">
            <v>46048</v>
          </cell>
          <cell r="D1382" t="str">
            <v>Вероника 1996</v>
          </cell>
          <cell r="F1382">
            <v>2600</v>
          </cell>
        </row>
        <row r="1383">
          <cell r="A1383">
            <v>46049</v>
          </cell>
          <cell r="D1383" t="str">
            <v>Екатерина 2201</v>
          </cell>
          <cell r="F1383">
            <v>1390</v>
          </cell>
        </row>
        <row r="1384">
          <cell r="A1384">
            <v>46049</v>
          </cell>
          <cell r="D1384" t="str">
            <v>Оганов А.С.3007</v>
          </cell>
          <cell r="F1384">
            <v>1990</v>
          </cell>
        </row>
        <row r="1385">
          <cell r="A1385">
            <v>46049</v>
          </cell>
          <cell r="D1385" t="str">
            <v>Оганов А.С.5984</v>
          </cell>
          <cell r="F1385">
            <v>1390</v>
          </cell>
        </row>
        <row r="1386">
          <cell r="A1386">
            <v>46049</v>
          </cell>
          <cell r="D1386" t="str">
            <v>Оганов А.С.5984</v>
          </cell>
          <cell r="F1386">
            <v>1390</v>
          </cell>
        </row>
        <row r="1387">
          <cell r="A1387">
            <v>46049</v>
          </cell>
          <cell r="D1387" t="str">
            <v>Екатерина 2201</v>
          </cell>
          <cell r="F1387">
            <v>2390</v>
          </cell>
        </row>
        <row r="1388">
          <cell r="A1388">
            <v>46049</v>
          </cell>
          <cell r="D1388" t="str">
            <v>Екатерина 2201</v>
          </cell>
          <cell r="F1388">
            <v>1280</v>
          </cell>
        </row>
        <row r="1389">
          <cell r="A1389">
            <v>46049</v>
          </cell>
          <cell r="D1389" t="str">
            <v>Оганов А.С.5984</v>
          </cell>
          <cell r="F1389">
            <v>1295</v>
          </cell>
        </row>
        <row r="1390">
          <cell r="A1390">
            <v>46049</v>
          </cell>
          <cell r="D1390" t="str">
            <v>Оганов А.С.5984</v>
          </cell>
          <cell r="F1390">
            <v>1180</v>
          </cell>
        </row>
        <row r="1391">
          <cell r="A1391">
            <v>46049</v>
          </cell>
          <cell r="D1391" t="str">
            <v>Оганов А.С.3007</v>
          </cell>
          <cell r="F1391">
            <v>2590</v>
          </cell>
        </row>
        <row r="1392">
          <cell r="A1392">
            <v>46050</v>
          </cell>
          <cell r="D1392" t="str">
            <v>Виктория 2502</v>
          </cell>
          <cell r="F1392">
            <v>5490</v>
          </cell>
        </row>
        <row r="1393">
          <cell r="A1393">
            <v>46049</v>
          </cell>
          <cell r="D1393" t="str">
            <v>Оганов А.С.3007</v>
          </cell>
          <cell r="F1393">
            <v>3500</v>
          </cell>
        </row>
        <row r="1394">
          <cell r="A1394">
            <v>46049</v>
          </cell>
          <cell r="D1394" t="str">
            <v>Оганов А.С.2404</v>
          </cell>
          <cell r="F1394">
            <v>4580</v>
          </cell>
        </row>
        <row r="1395">
          <cell r="A1395">
            <v>46049</v>
          </cell>
          <cell r="D1395" t="str">
            <v>Оганов А.С.2404</v>
          </cell>
          <cell r="F1395">
            <v>4770</v>
          </cell>
        </row>
        <row r="1396">
          <cell r="A1396">
            <v>46049</v>
          </cell>
          <cell r="D1396" t="str">
            <v>Оганов А.С.2404</v>
          </cell>
          <cell r="F1396">
            <v>580</v>
          </cell>
        </row>
        <row r="1397">
          <cell r="A1397">
            <v>46049</v>
          </cell>
          <cell r="D1397" t="str">
            <v>Оганов А.С.2404</v>
          </cell>
          <cell r="F1397">
            <v>6500</v>
          </cell>
        </row>
        <row r="1398">
          <cell r="A1398">
            <v>46049</v>
          </cell>
          <cell r="D1398" t="str">
            <v>Оганов А.С.2404</v>
          </cell>
          <cell r="F1398">
            <v>4580</v>
          </cell>
        </row>
        <row r="1399">
          <cell r="A1399">
            <v>46049</v>
          </cell>
          <cell r="D1399" t="str">
            <v>Оганов А.С.2404</v>
          </cell>
          <cell r="F1399">
            <v>1500</v>
          </cell>
        </row>
        <row r="1400">
          <cell r="A1400">
            <v>46049</v>
          </cell>
          <cell r="D1400" t="str">
            <v>Оганов А.С.3007</v>
          </cell>
          <cell r="F1400">
            <v>3590</v>
          </cell>
        </row>
        <row r="1401">
          <cell r="A1401">
            <v>46049</v>
          </cell>
          <cell r="D1401" t="str">
            <v>Оганов А.С.3007</v>
          </cell>
          <cell r="F1401">
            <v>2750</v>
          </cell>
        </row>
        <row r="1402">
          <cell r="A1402">
            <v>46049</v>
          </cell>
          <cell r="D1402" t="str">
            <v>Оганов А.С.3007</v>
          </cell>
          <cell r="F1402">
            <v>5500</v>
          </cell>
        </row>
        <row r="1403">
          <cell r="A1403">
            <v>46049</v>
          </cell>
          <cell r="D1403" t="str">
            <v>Оганов А.С.3007</v>
          </cell>
          <cell r="F1403">
            <v>1500</v>
          </cell>
        </row>
        <row r="1404">
          <cell r="A1404">
            <v>46049</v>
          </cell>
          <cell r="D1404" t="str">
            <v>Екатерина 2201</v>
          </cell>
          <cell r="F1404">
            <v>790</v>
          </cell>
        </row>
        <row r="1405">
          <cell r="A1405">
            <v>46049</v>
          </cell>
          <cell r="D1405" t="str">
            <v>Оганов А.С.3007</v>
          </cell>
          <cell r="F1405">
            <v>1050</v>
          </cell>
        </row>
        <row r="1406">
          <cell r="A1406">
            <v>46049</v>
          </cell>
          <cell r="D1406" t="str">
            <v>Оганов А.С.3007</v>
          </cell>
          <cell r="F1406">
            <v>0</v>
          </cell>
        </row>
        <row r="1407">
          <cell r="A1407">
            <v>46049</v>
          </cell>
          <cell r="D1407" t="str">
            <v>Оганов А.С.3007</v>
          </cell>
          <cell r="F1407">
            <v>1290</v>
          </cell>
        </row>
        <row r="1408">
          <cell r="A1408">
            <v>46049</v>
          </cell>
          <cell r="D1408" t="str">
            <v>Оганов А.С.3007</v>
          </cell>
          <cell r="F1408">
            <v>0</v>
          </cell>
        </row>
        <row r="1409">
          <cell r="A1409">
            <v>46049</v>
          </cell>
          <cell r="D1409" t="str">
            <v>Оганов А.С.3007</v>
          </cell>
          <cell r="F1409">
            <v>1050</v>
          </cell>
        </row>
        <row r="1410">
          <cell r="A1410">
            <v>46049</v>
          </cell>
          <cell r="D1410" t="str">
            <v>Екатерина 2201</v>
          </cell>
          <cell r="F1410">
            <v>4500</v>
          </cell>
        </row>
        <row r="1411">
          <cell r="A1411">
            <v>46049</v>
          </cell>
          <cell r="D1411" t="str">
            <v>Екатерина 2201</v>
          </cell>
          <cell r="F1411">
            <v>2000</v>
          </cell>
        </row>
        <row r="1412">
          <cell r="A1412">
            <v>46049</v>
          </cell>
          <cell r="D1412" t="str">
            <v>Оганов А.С.7272</v>
          </cell>
          <cell r="F1412">
            <v>1200</v>
          </cell>
        </row>
        <row r="1413">
          <cell r="A1413">
            <v>46049</v>
          </cell>
          <cell r="D1413" t="str">
            <v>Оганов А.С.3007</v>
          </cell>
          <cell r="F1413">
            <v>2980</v>
          </cell>
        </row>
        <row r="1414">
          <cell r="A1414">
            <v>46049</v>
          </cell>
          <cell r="D1414" t="str">
            <v>Екатерина 2201</v>
          </cell>
          <cell r="F1414">
            <v>1500</v>
          </cell>
        </row>
        <row r="1415">
          <cell r="A1415">
            <v>46049</v>
          </cell>
          <cell r="D1415" t="str">
            <v>Оганов А.С.3007</v>
          </cell>
          <cell r="F1415">
            <v>0</v>
          </cell>
        </row>
        <row r="1416">
          <cell r="A1416">
            <v>46049</v>
          </cell>
          <cell r="D1416" t="str">
            <v>Оганов А.С.3007</v>
          </cell>
          <cell r="F1416">
            <v>2590</v>
          </cell>
        </row>
        <row r="1417">
          <cell r="A1417">
            <v>46049</v>
          </cell>
          <cell r="D1417" t="str">
            <v>Оганов А.С.3007</v>
          </cell>
          <cell r="F1417">
            <v>2500</v>
          </cell>
        </row>
        <row r="1418">
          <cell r="A1418">
            <v>46049</v>
          </cell>
          <cell r="D1418" t="str">
            <v>Оганов А.С.3007</v>
          </cell>
          <cell r="F1418">
            <v>1500</v>
          </cell>
        </row>
        <row r="1419">
          <cell r="A1419">
            <v>46049</v>
          </cell>
          <cell r="D1419" t="str">
            <v>Екатерина 2201</v>
          </cell>
          <cell r="F1419">
            <v>2590</v>
          </cell>
        </row>
        <row r="1420">
          <cell r="A1420">
            <v>46049</v>
          </cell>
          <cell r="D1420" t="str">
            <v>Оганов А.С.7272</v>
          </cell>
          <cell r="F1420">
            <v>4500</v>
          </cell>
        </row>
        <row r="1421">
          <cell r="A1421">
            <v>46049</v>
          </cell>
          <cell r="D1421" t="str">
            <v>Оганов А.С.7272</v>
          </cell>
          <cell r="F1421">
            <v>1500</v>
          </cell>
        </row>
        <row r="1422">
          <cell r="A1422">
            <v>46049</v>
          </cell>
          <cell r="D1422" t="str">
            <v>Екатерина 2201</v>
          </cell>
          <cell r="F1422">
            <v>1350</v>
          </cell>
        </row>
        <row r="1423">
          <cell r="A1423">
            <v>46049</v>
          </cell>
          <cell r="D1423" t="str">
            <v>Екатерина 2201</v>
          </cell>
          <cell r="F1423">
            <v>2500</v>
          </cell>
        </row>
        <row r="1424">
          <cell r="A1424">
            <v>46051</v>
          </cell>
          <cell r="D1424" t="str">
            <v>Оганов А.С.0102</v>
          </cell>
          <cell r="F1424">
            <v>4500</v>
          </cell>
        </row>
        <row r="1425">
          <cell r="A1425">
            <v>46051</v>
          </cell>
          <cell r="D1425" t="str">
            <v>Оганов А.С.0102</v>
          </cell>
          <cell r="F1425">
            <v>1500</v>
          </cell>
        </row>
        <row r="1426">
          <cell r="A1426">
            <v>46051</v>
          </cell>
          <cell r="D1426" t="str">
            <v>Оганов А.С.0102</v>
          </cell>
          <cell r="F1426">
            <v>8000</v>
          </cell>
        </row>
        <row r="1427">
          <cell r="A1427">
            <v>46050</v>
          </cell>
          <cell r="D1427" t="str">
            <v>Виктория 2502</v>
          </cell>
          <cell r="F1427">
            <v>1580</v>
          </cell>
        </row>
        <row r="1428">
          <cell r="A1428">
            <v>46050</v>
          </cell>
          <cell r="D1428" t="str">
            <v>Оганов А.С.2404</v>
          </cell>
          <cell r="F1428">
            <v>2750</v>
          </cell>
        </row>
        <row r="1429">
          <cell r="A1429">
            <v>46050</v>
          </cell>
          <cell r="D1429" t="str">
            <v>Оганов А.С.2404</v>
          </cell>
          <cell r="F1429">
            <v>1500</v>
          </cell>
        </row>
        <row r="1430">
          <cell r="A1430">
            <v>46050</v>
          </cell>
          <cell r="D1430" t="str">
            <v>Оганов А.С.2404</v>
          </cell>
          <cell r="F1430">
            <v>690</v>
          </cell>
        </row>
        <row r="1431">
          <cell r="A1431">
            <v>46050</v>
          </cell>
          <cell r="D1431" t="str">
            <v>Оганов А.С.2404</v>
          </cell>
          <cell r="F1431">
            <v>5000</v>
          </cell>
        </row>
        <row r="1432">
          <cell r="A1432">
            <v>46050</v>
          </cell>
          <cell r="D1432" t="str">
            <v>Оганов А.С.2404</v>
          </cell>
          <cell r="F1432">
            <v>1750</v>
          </cell>
        </row>
        <row r="1433">
          <cell r="A1433">
            <v>46050</v>
          </cell>
          <cell r="D1433" t="str">
            <v>Оганов А.С.0208</v>
          </cell>
          <cell r="F1433">
            <v>2000</v>
          </cell>
        </row>
        <row r="1434">
          <cell r="A1434">
            <v>46050</v>
          </cell>
          <cell r="D1434" t="str">
            <v>Оганов А.С.3007</v>
          </cell>
          <cell r="F1434">
            <v>2750</v>
          </cell>
        </row>
        <row r="1435">
          <cell r="A1435">
            <v>46050</v>
          </cell>
          <cell r="D1435" t="str">
            <v>Оганов А.С.0208</v>
          </cell>
          <cell r="F1435">
            <v>1280</v>
          </cell>
        </row>
        <row r="1436">
          <cell r="A1436">
            <v>46050</v>
          </cell>
          <cell r="D1436" t="str">
            <v>Оганов А.С.0208</v>
          </cell>
          <cell r="F1436">
            <v>1290</v>
          </cell>
        </row>
        <row r="1437">
          <cell r="A1437">
            <v>46050</v>
          </cell>
          <cell r="D1437" t="str">
            <v>Оганов А.С.0208</v>
          </cell>
          <cell r="F1437">
            <v>3590</v>
          </cell>
        </row>
        <row r="1438">
          <cell r="A1438">
            <v>46050</v>
          </cell>
          <cell r="D1438" t="str">
            <v>Оганов А.С.0208</v>
          </cell>
          <cell r="F1438">
            <v>2000</v>
          </cell>
        </row>
        <row r="1439">
          <cell r="A1439">
            <v>46050</v>
          </cell>
          <cell r="D1439" t="str">
            <v>Оганов А.С.0208</v>
          </cell>
          <cell r="F1439">
            <v>0</v>
          </cell>
        </row>
        <row r="1440">
          <cell r="A1440">
            <v>46050</v>
          </cell>
          <cell r="D1440" t="str">
            <v>Виктория 2502</v>
          </cell>
          <cell r="F1440">
            <v>1949</v>
          </cell>
        </row>
        <row r="1441">
          <cell r="A1441">
            <v>46050</v>
          </cell>
          <cell r="D1441" t="str">
            <v>Оганов А.С.0208</v>
          </cell>
          <cell r="F1441">
            <v>3000</v>
          </cell>
        </row>
        <row r="1442">
          <cell r="A1442">
            <v>46050</v>
          </cell>
          <cell r="D1442" t="str">
            <v>Оганов А.С.7272</v>
          </cell>
          <cell r="F1442">
            <v>390</v>
          </cell>
        </row>
        <row r="1443">
          <cell r="A1443">
            <v>46050</v>
          </cell>
          <cell r="D1443" t="str">
            <v>Оганов А.С.7272</v>
          </cell>
          <cell r="F1443">
            <v>4490</v>
          </cell>
        </row>
        <row r="1444">
          <cell r="A1444">
            <v>46050</v>
          </cell>
          <cell r="D1444" t="str">
            <v>Оганов А.С.3007</v>
          </cell>
          <cell r="F1444">
            <v>1390</v>
          </cell>
        </row>
        <row r="1445">
          <cell r="A1445">
            <v>46050</v>
          </cell>
          <cell r="D1445" t="str">
            <v>Оганов А.С.3007</v>
          </cell>
          <cell r="F1445">
            <v>5500</v>
          </cell>
        </row>
        <row r="1446">
          <cell r="A1446">
            <v>46051</v>
          </cell>
          <cell r="D1446" t="str">
            <v>Вероника 1996</v>
          </cell>
          <cell r="F1446">
            <v>1160</v>
          </cell>
        </row>
        <row r="1447">
          <cell r="A1447">
            <v>46050</v>
          </cell>
          <cell r="D1447" t="str">
            <v>Оганов А.С.0208</v>
          </cell>
          <cell r="F1447">
            <v>3000</v>
          </cell>
        </row>
        <row r="1448">
          <cell r="A1448">
            <v>46050</v>
          </cell>
          <cell r="D1448" t="str">
            <v>Оганов А.С.0208</v>
          </cell>
          <cell r="F1448">
            <v>5500</v>
          </cell>
        </row>
        <row r="1449">
          <cell r="A1449">
            <v>46050</v>
          </cell>
          <cell r="D1449" t="str">
            <v>Оганов А.С.0208</v>
          </cell>
          <cell r="F1449">
            <v>1380</v>
          </cell>
        </row>
        <row r="1450">
          <cell r="A1450">
            <v>46050</v>
          </cell>
          <cell r="D1450" t="str">
            <v>Виктория 2502</v>
          </cell>
          <cell r="F1450">
            <v>5960</v>
          </cell>
        </row>
        <row r="1451">
          <cell r="A1451">
            <v>46050</v>
          </cell>
          <cell r="D1451" t="str">
            <v>Виктория 2502</v>
          </cell>
          <cell r="F1451">
            <v>490</v>
          </cell>
        </row>
        <row r="1452">
          <cell r="A1452">
            <v>46050</v>
          </cell>
          <cell r="D1452" t="str">
            <v>Оганов А.С.7272</v>
          </cell>
          <cell r="F1452">
            <v>2980</v>
          </cell>
        </row>
        <row r="1453">
          <cell r="A1453">
            <v>46050</v>
          </cell>
          <cell r="D1453" t="str">
            <v>Оганов А.С.0208</v>
          </cell>
          <cell r="F1453">
            <v>990</v>
          </cell>
        </row>
        <row r="1454">
          <cell r="A1454">
            <v>46050</v>
          </cell>
          <cell r="D1454" t="str">
            <v>Оганов А.С.0208</v>
          </cell>
          <cell r="F1454">
            <v>1790</v>
          </cell>
        </row>
        <row r="1455">
          <cell r="A1455">
            <v>46050</v>
          </cell>
          <cell r="D1455" t="str">
            <v>Оганов А.С.7272</v>
          </cell>
          <cell r="F1455">
            <v>1690</v>
          </cell>
        </row>
        <row r="1456">
          <cell r="A1456">
            <v>46050</v>
          </cell>
          <cell r="D1456" t="str">
            <v>Оганов А.С.7272</v>
          </cell>
          <cell r="F1456">
            <v>4500</v>
          </cell>
        </row>
        <row r="1457">
          <cell r="A1457">
            <v>46050</v>
          </cell>
          <cell r="D1457" t="str">
            <v>Оганов А.С.0208</v>
          </cell>
          <cell r="F1457">
            <v>1390</v>
          </cell>
        </row>
        <row r="1458">
          <cell r="A1458">
            <v>46050</v>
          </cell>
          <cell r="D1458" t="str">
            <v>Оганов А.С.0208</v>
          </cell>
          <cell r="F1458">
            <v>3000</v>
          </cell>
        </row>
        <row r="1459">
          <cell r="A1459">
            <v>46050</v>
          </cell>
          <cell r="D1459" t="str">
            <v>Оганов А.С.0208</v>
          </cell>
          <cell r="F1459">
            <v>1200</v>
          </cell>
        </row>
        <row r="1460">
          <cell r="A1460">
            <v>46050</v>
          </cell>
          <cell r="D1460" t="str">
            <v>Оганов А.С.0208</v>
          </cell>
          <cell r="F1460">
            <v>3500</v>
          </cell>
        </row>
        <row r="1461">
          <cell r="A1461">
            <v>46050</v>
          </cell>
          <cell r="D1461" t="str">
            <v>Оганов А.С.3007</v>
          </cell>
          <cell r="F1461">
            <v>3000</v>
          </cell>
        </row>
        <row r="1462">
          <cell r="A1462">
            <v>46050</v>
          </cell>
          <cell r="D1462" t="str">
            <v>Оганов А.С.3007</v>
          </cell>
          <cell r="F1462">
            <v>2490</v>
          </cell>
        </row>
        <row r="1463">
          <cell r="A1463">
            <v>46050</v>
          </cell>
          <cell r="D1463" t="str">
            <v>Оганов А.С.3007</v>
          </cell>
          <cell r="F1463">
            <v>1050</v>
          </cell>
        </row>
        <row r="1464">
          <cell r="A1464">
            <v>46050</v>
          </cell>
          <cell r="D1464" t="str">
            <v>Оганов А.С.3007</v>
          </cell>
          <cell r="F1464">
            <v>1290</v>
          </cell>
        </row>
        <row r="1465">
          <cell r="A1465">
            <v>46050</v>
          </cell>
          <cell r="D1465" t="str">
            <v>Оганов А.С.3007</v>
          </cell>
          <cell r="F1465">
            <v>2390</v>
          </cell>
        </row>
        <row r="1466">
          <cell r="A1466">
            <v>46050</v>
          </cell>
          <cell r="D1466" t="str">
            <v>Оганов А. С. 2106</v>
          </cell>
          <cell r="F1466">
            <v>1490</v>
          </cell>
        </row>
        <row r="1467">
          <cell r="A1467">
            <v>46050</v>
          </cell>
          <cell r="D1467" t="str">
            <v>Оганов А. С. 2106</v>
          </cell>
          <cell r="F1467">
            <v>390</v>
          </cell>
        </row>
        <row r="1468">
          <cell r="A1468">
            <v>46050</v>
          </cell>
          <cell r="D1468" t="str">
            <v>Виктория 2502</v>
          </cell>
          <cell r="F1468">
            <v>0</v>
          </cell>
        </row>
        <row r="1469">
          <cell r="A1469">
            <v>46050</v>
          </cell>
          <cell r="D1469" t="str">
            <v>Виктория 2502</v>
          </cell>
          <cell r="F1469">
            <v>0</v>
          </cell>
        </row>
        <row r="1470">
          <cell r="A1470">
            <v>46050</v>
          </cell>
          <cell r="D1470" t="str">
            <v>Оганов А.С.7272</v>
          </cell>
          <cell r="F1470">
            <v>4500</v>
          </cell>
        </row>
        <row r="1471">
          <cell r="A1471">
            <v>46050</v>
          </cell>
          <cell r="D1471" t="str">
            <v>Оганов А.С.7272</v>
          </cell>
          <cell r="F1471">
            <v>2000</v>
          </cell>
        </row>
        <row r="1472">
          <cell r="A1472">
            <v>46051</v>
          </cell>
          <cell r="D1472" t="str">
            <v>Вероника 1996</v>
          </cell>
          <cell r="F1472">
            <v>0</v>
          </cell>
        </row>
        <row r="1473">
          <cell r="A1473">
            <v>46051</v>
          </cell>
          <cell r="D1473" t="str">
            <v>Виктория 2502</v>
          </cell>
          <cell r="F1473">
            <v>690</v>
          </cell>
        </row>
        <row r="1474">
          <cell r="A1474">
            <v>46051</v>
          </cell>
          <cell r="D1474" t="str">
            <v>Оганов А.С.0102</v>
          </cell>
          <cell r="F1474">
            <v>1190</v>
          </cell>
        </row>
        <row r="1475">
          <cell r="A1475">
            <v>46051</v>
          </cell>
          <cell r="D1475" t="str">
            <v>Оганов А.С.0102</v>
          </cell>
          <cell r="F1475">
            <v>790</v>
          </cell>
        </row>
        <row r="1476">
          <cell r="A1476">
            <v>46051</v>
          </cell>
          <cell r="D1476" t="str">
            <v>Оганов А.С.0102</v>
          </cell>
          <cell r="F1476">
            <v>2500</v>
          </cell>
        </row>
        <row r="1477">
          <cell r="A1477">
            <v>46051</v>
          </cell>
          <cell r="D1477" t="str">
            <v>Оганов А.С.3007</v>
          </cell>
          <cell r="F1477">
            <v>3498</v>
          </cell>
        </row>
        <row r="1478">
          <cell r="A1478">
            <v>46051</v>
          </cell>
          <cell r="D1478" t="str">
            <v>Оганов А.С.3007</v>
          </cell>
          <cell r="F1478">
            <v>1380</v>
          </cell>
        </row>
        <row r="1479">
          <cell r="A1479">
            <v>46051</v>
          </cell>
          <cell r="D1479" t="str">
            <v>Оганов А.С.1505</v>
          </cell>
          <cell r="F1479">
            <v>8360</v>
          </cell>
        </row>
        <row r="1480">
          <cell r="A1480">
            <v>46051</v>
          </cell>
          <cell r="D1480" t="str">
            <v>Оганов А.С.1505</v>
          </cell>
          <cell r="F1480">
            <v>1380</v>
          </cell>
        </row>
        <row r="1481">
          <cell r="A1481">
            <v>46051</v>
          </cell>
          <cell r="D1481" t="str">
            <v>Оганов А.С.1505</v>
          </cell>
          <cell r="F1481">
            <v>1200</v>
          </cell>
        </row>
        <row r="1482">
          <cell r="A1482">
            <v>46051</v>
          </cell>
          <cell r="D1482" t="str">
            <v>Вероника 1996</v>
          </cell>
          <cell r="F1482">
            <v>0</v>
          </cell>
        </row>
        <row r="1483">
          <cell r="A1483">
            <v>46051</v>
          </cell>
          <cell r="D1483" t="str">
            <v>Оганов А.С.0102</v>
          </cell>
          <cell r="F1483">
            <v>690</v>
          </cell>
        </row>
        <row r="1484">
          <cell r="A1484">
            <v>46051</v>
          </cell>
          <cell r="D1484" t="str">
            <v>Вероника 1996</v>
          </cell>
          <cell r="F1484">
            <v>7000</v>
          </cell>
        </row>
        <row r="1485">
          <cell r="A1485">
            <v>46051</v>
          </cell>
          <cell r="D1485" t="str">
            <v>Оганов А.С.0102</v>
          </cell>
          <cell r="F1485">
            <v>1000</v>
          </cell>
        </row>
        <row r="1486">
          <cell r="A1486">
            <v>46051</v>
          </cell>
          <cell r="D1486" t="str">
            <v>Вероника 1996</v>
          </cell>
          <cell r="F1486">
            <v>9000</v>
          </cell>
        </row>
        <row r="1487">
          <cell r="A1487">
            <v>46051</v>
          </cell>
          <cell r="D1487" t="str">
            <v>Оганов А.С.3007</v>
          </cell>
          <cell r="F1487">
            <v>1490</v>
          </cell>
        </row>
        <row r="1488">
          <cell r="A1488">
            <v>46051</v>
          </cell>
          <cell r="D1488" t="str">
            <v>Оганов А.С.3007</v>
          </cell>
          <cell r="F1488">
            <v>2750</v>
          </cell>
        </row>
        <row r="1489">
          <cell r="A1489">
            <v>46051</v>
          </cell>
          <cell r="D1489" t="str">
            <v>Виктория 2502</v>
          </cell>
          <cell r="F1489">
            <v>2590</v>
          </cell>
        </row>
        <row r="1490">
          <cell r="A1490">
            <v>46051</v>
          </cell>
          <cell r="D1490" t="str">
            <v>Виктория 2502</v>
          </cell>
          <cell r="F1490">
            <v>0</v>
          </cell>
        </row>
        <row r="1491">
          <cell r="A1491">
            <v>46051</v>
          </cell>
          <cell r="D1491" t="str">
            <v>Виктория 2502</v>
          </cell>
          <cell r="F1491">
            <v>875</v>
          </cell>
        </row>
        <row r="1492">
          <cell r="A1492">
            <v>46051</v>
          </cell>
          <cell r="D1492" t="str">
            <v>Оганов А. С. 2106</v>
          </cell>
          <cell r="F1492">
            <v>5500</v>
          </cell>
        </row>
        <row r="1493">
          <cell r="A1493">
            <v>46051</v>
          </cell>
          <cell r="D1493" t="str">
            <v>Оганов А. С. 2106</v>
          </cell>
          <cell r="F1493">
            <v>2000</v>
          </cell>
        </row>
        <row r="1494">
          <cell r="A1494">
            <v>46051</v>
          </cell>
          <cell r="D1494" t="str">
            <v>Оганов А. С. 2106</v>
          </cell>
          <cell r="F1494">
            <v>5500</v>
          </cell>
        </row>
        <row r="1495">
          <cell r="A1495">
            <v>46051</v>
          </cell>
          <cell r="D1495" t="str">
            <v>Оганов А. С. 2106</v>
          </cell>
          <cell r="F1495">
            <v>2000</v>
          </cell>
        </row>
        <row r="1496">
          <cell r="A1496">
            <v>46051</v>
          </cell>
          <cell r="D1496" t="str">
            <v>Вероника 1996</v>
          </cell>
          <cell r="F1496">
            <v>1500</v>
          </cell>
        </row>
        <row r="1497">
          <cell r="A1497">
            <v>46051</v>
          </cell>
          <cell r="D1497" t="str">
            <v>Вероника 1996</v>
          </cell>
          <cell r="F1497">
            <v>1390</v>
          </cell>
        </row>
        <row r="1498">
          <cell r="A1498">
            <v>46051</v>
          </cell>
          <cell r="D1498" t="str">
            <v>Вероника 1996</v>
          </cell>
          <cell r="F1498">
            <v>3590</v>
          </cell>
        </row>
        <row r="1499">
          <cell r="A1499">
            <v>46051</v>
          </cell>
          <cell r="D1499" t="str">
            <v>Вероника 1996</v>
          </cell>
          <cell r="F1499">
            <v>1000</v>
          </cell>
        </row>
        <row r="1500">
          <cell r="A1500">
            <v>46051</v>
          </cell>
          <cell r="D1500" t="str">
            <v>Вероника 1996</v>
          </cell>
          <cell r="F1500">
            <v>3590</v>
          </cell>
        </row>
        <row r="1501">
          <cell r="A1501">
            <v>46051</v>
          </cell>
          <cell r="D1501" t="str">
            <v>Вероника 1996</v>
          </cell>
          <cell r="F1501">
            <v>1000</v>
          </cell>
        </row>
        <row r="1502">
          <cell r="A1502">
            <v>46051</v>
          </cell>
          <cell r="D1502" t="str">
            <v>Вероника 1996</v>
          </cell>
          <cell r="F1502">
            <v>3590</v>
          </cell>
        </row>
        <row r="1503">
          <cell r="A1503">
            <v>46051</v>
          </cell>
          <cell r="D1503" t="str">
            <v>Виктория 2502</v>
          </cell>
          <cell r="F1503">
            <v>2980</v>
          </cell>
        </row>
        <row r="1504">
          <cell r="A1504">
            <v>46051</v>
          </cell>
          <cell r="D1504" t="str">
            <v>Оганов А.С.3007</v>
          </cell>
          <cell r="F1504">
            <v>2590</v>
          </cell>
        </row>
        <row r="1505">
          <cell r="A1505">
            <v>46051</v>
          </cell>
          <cell r="D1505" t="str">
            <v>Оганов А.С.1505</v>
          </cell>
          <cell r="F1505">
            <v>690</v>
          </cell>
        </row>
        <row r="1506">
          <cell r="A1506">
            <v>46051</v>
          </cell>
          <cell r="D1506" t="str">
            <v>Оганов А. С. 2106</v>
          </cell>
          <cell r="F1506">
            <v>2000</v>
          </cell>
        </row>
        <row r="1507">
          <cell r="A1507">
            <v>46051</v>
          </cell>
          <cell r="D1507" t="str">
            <v>Оганов А. С. 2106</v>
          </cell>
          <cell r="F1507">
            <v>4490</v>
          </cell>
        </row>
        <row r="1508">
          <cell r="A1508">
            <v>46051</v>
          </cell>
          <cell r="D1508" t="str">
            <v>Оганов А. С. 2106</v>
          </cell>
          <cell r="F1508">
            <v>4490</v>
          </cell>
        </row>
        <row r="1509">
          <cell r="A1509">
            <v>46051</v>
          </cell>
          <cell r="D1509" t="str">
            <v>Оганов А. С. 2106</v>
          </cell>
          <cell r="F1509">
            <v>4490</v>
          </cell>
        </row>
        <row r="1510">
          <cell r="A1510">
            <v>46051</v>
          </cell>
          <cell r="D1510" t="str">
            <v>Оганов А.С.0102</v>
          </cell>
          <cell r="F1510">
            <v>1000</v>
          </cell>
        </row>
        <row r="1511">
          <cell r="A1511">
            <v>46052</v>
          </cell>
          <cell r="D1511" t="str">
            <v>Вероника 1996</v>
          </cell>
          <cell r="F1511">
            <v>2500</v>
          </cell>
        </row>
        <row r="1512">
          <cell r="A1512">
            <v>46052</v>
          </cell>
          <cell r="D1512" t="str">
            <v>Вероника 1996</v>
          </cell>
          <cell r="F1512">
            <v>1200</v>
          </cell>
        </row>
        <row r="1513">
          <cell r="A1513">
            <v>46052</v>
          </cell>
          <cell r="D1513" t="str">
            <v>Вероника 1996</v>
          </cell>
          <cell r="F1513">
            <v>2500</v>
          </cell>
        </row>
        <row r="1514">
          <cell r="A1514">
            <v>46051</v>
          </cell>
          <cell r="D1514" t="str">
            <v>Вероника 1996</v>
          </cell>
          <cell r="F1514">
            <v>0</v>
          </cell>
        </row>
        <row r="1515">
          <cell r="A1515">
            <v>46051</v>
          </cell>
          <cell r="D1515" t="str">
            <v>Виктория 2502</v>
          </cell>
          <cell r="F1515">
            <v>1790</v>
          </cell>
        </row>
        <row r="1516">
          <cell r="A1516">
            <v>46051</v>
          </cell>
          <cell r="D1516" t="str">
            <v>Оганов А.С.0102</v>
          </cell>
          <cell r="F1516">
            <v>5000</v>
          </cell>
        </row>
        <row r="1517">
          <cell r="A1517">
            <v>46051</v>
          </cell>
          <cell r="D1517" t="str">
            <v>Оганов А.С.0102</v>
          </cell>
          <cell r="F1517">
            <v>5000</v>
          </cell>
        </row>
        <row r="1518">
          <cell r="A1518">
            <v>46051</v>
          </cell>
          <cell r="D1518" t="str">
            <v>Оганов А.С.0102</v>
          </cell>
          <cell r="F1518">
            <v>6000</v>
          </cell>
        </row>
        <row r="1519">
          <cell r="A1519">
            <v>46051</v>
          </cell>
          <cell r="D1519" t="str">
            <v>Оганов А.С.0102</v>
          </cell>
          <cell r="F1519">
            <v>4000</v>
          </cell>
        </row>
        <row r="1520">
          <cell r="A1520">
            <v>46051</v>
          </cell>
          <cell r="D1520" t="str">
            <v>Оганов А.С.0102</v>
          </cell>
          <cell r="F1520">
            <v>1000</v>
          </cell>
        </row>
        <row r="1521">
          <cell r="A1521">
            <v>46051</v>
          </cell>
          <cell r="D1521" t="str">
            <v>Вероника 1996</v>
          </cell>
          <cell r="F1521">
            <v>500</v>
          </cell>
        </row>
        <row r="1522">
          <cell r="A1522">
            <v>46051</v>
          </cell>
          <cell r="D1522" t="str">
            <v>Вероника 1996</v>
          </cell>
          <cell r="F1522">
            <v>1290</v>
          </cell>
        </row>
        <row r="1523">
          <cell r="A1523">
            <v>46051</v>
          </cell>
          <cell r="D1523" t="str">
            <v>Вероника 1996</v>
          </cell>
          <cell r="F1523">
            <v>2490</v>
          </cell>
        </row>
        <row r="1524">
          <cell r="A1524">
            <v>46051</v>
          </cell>
          <cell r="D1524" t="str">
            <v>Вероника 1996</v>
          </cell>
          <cell r="F1524">
            <v>3000</v>
          </cell>
        </row>
        <row r="1525">
          <cell r="A1525">
            <v>46051</v>
          </cell>
          <cell r="D1525" t="str">
            <v>Вероника 1996</v>
          </cell>
          <cell r="F1525">
            <v>1290</v>
          </cell>
        </row>
        <row r="1526">
          <cell r="A1526">
            <v>46051</v>
          </cell>
          <cell r="D1526" t="str">
            <v>Вероника 1996</v>
          </cell>
          <cell r="F1526">
            <v>2490</v>
          </cell>
        </row>
        <row r="1527">
          <cell r="A1527">
            <v>46051</v>
          </cell>
          <cell r="D1527" t="str">
            <v>Вероника 1996</v>
          </cell>
          <cell r="F1527">
            <v>6000</v>
          </cell>
        </row>
        <row r="1528">
          <cell r="A1528">
            <v>46051</v>
          </cell>
          <cell r="D1528" t="str">
            <v>Вероника 1996</v>
          </cell>
          <cell r="F1528">
            <v>4000</v>
          </cell>
        </row>
        <row r="1529">
          <cell r="A1529">
            <v>46051</v>
          </cell>
          <cell r="D1529" t="str">
            <v>Вероника 1996</v>
          </cell>
          <cell r="F1529">
            <v>4980</v>
          </cell>
        </row>
        <row r="1530">
          <cell r="A1530">
            <v>46051</v>
          </cell>
          <cell r="D1530" t="str">
            <v>Вероника 1996</v>
          </cell>
          <cell r="F1530">
            <v>4000</v>
          </cell>
        </row>
        <row r="1531">
          <cell r="A1531">
            <v>46051</v>
          </cell>
          <cell r="D1531" t="str">
            <v>Вероника 1996</v>
          </cell>
          <cell r="F1531">
            <v>1290</v>
          </cell>
        </row>
        <row r="1532">
          <cell r="A1532">
            <v>46051</v>
          </cell>
          <cell r="D1532" t="str">
            <v>Вероника 1996</v>
          </cell>
          <cell r="F1532">
            <v>2490</v>
          </cell>
        </row>
        <row r="1533">
          <cell r="A1533">
            <v>46051</v>
          </cell>
          <cell r="D1533" t="str">
            <v>Вероника 1996</v>
          </cell>
          <cell r="F1533">
            <v>1000</v>
          </cell>
        </row>
        <row r="1534">
          <cell r="A1534">
            <v>46052</v>
          </cell>
          <cell r="D1534" t="str">
            <v>Оганов А.С.5984</v>
          </cell>
          <cell r="F1534">
            <v>4500</v>
          </cell>
        </row>
        <row r="1535">
          <cell r="A1535">
            <v>46052</v>
          </cell>
          <cell r="D1535" t="str">
            <v>Оганов А.С.5984</v>
          </cell>
          <cell r="F1535">
            <v>6000</v>
          </cell>
        </row>
        <row r="1536">
          <cell r="A1536">
            <v>46052</v>
          </cell>
          <cell r="D1536" t="str">
            <v>Вероника 1996</v>
          </cell>
          <cell r="F1536">
            <v>2490</v>
          </cell>
        </row>
        <row r="1537">
          <cell r="A1537">
            <v>46052</v>
          </cell>
          <cell r="D1537" t="str">
            <v>Вероника 1996</v>
          </cell>
          <cell r="F1537">
            <v>3000</v>
          </cell>
        </row>
        <row r="1538">
          <cell r="A1538">
            <v>46052</v>
          </cell>
          <cell r="D1538" t="str">
            <v>Вероника 1996</v>
          </cell>
          <cell r="F1538">
            <v>1000</v>
          </cell>
        </row>
        <row r="1539">
          <cell r="A1539">
            <v>46052</v>
          </cell>
          <cell r="D1539" t="str">
            <v>Вероника 1996</v>
          </cell>
          <cell r="F1539">
            <v>2230</v>
          </cell>
        </row>
        <row r="1540">
          <cell r="A1540">
            <v>46052</v>
          </cell>
          <cell r="D1540" t="str">
            <v>Вероника 1996</v>
          </cell>
          <cell r="F1540">
            <v>2750</v>
          </cell>
        </row>
        <row r="1541">
          <cell r="A1541">
            <v>46052</v>
          </cell>
          <cell r="D1541" t="str">
            <v>Вероника 1996</v>
          </cell>
          <cell r="F1541">
            <v>800</v>
          </cell>
        </row>
        <row r="1542">
          <cell r="A1542">
            <v>46052</v>
          </cell>
          <cell r="D1542" t="str">
            <v>Вероника 1996</v>
          </cell>
          <cell r="F1542">
            <v>1190</v>
          </cell>
        </row>
        <row r="1543">
          <cell r="A1543">
            <v>46052</v>
          </cell>
          <cell r="D1543" t="str">
            <v>Вероника 1996</v>
          </cell>
          <cell r="F1543">
            <v>1200</v>
          </cell>
        </row>
        <row r="1544">
          <cell r="A1544">
            <v>46052</v>
          </cell>
          <cell r="D1544" t="str">
            <v>Вероника 1996</v>
          </cell>
          <cell r="F1544">
            <v>2690</v>
          </cell>
        </row>
        <row r="1545">
          <cell r="A1545">
            <v>46052</v>
          </cell>
          <cell r="D1545" t="str">
            <v>Вероника 1996</v>
          </cell>
          <cell r="F1545">
            <v>800</v>
          </cell>
        </row>
        <row r="1546">
          <cell r="A1546">
            <v>46052</v>
          </cell>
          <cell r="D1546" t="str">
            <v>Любовь 1302</v>
          </cell>
          <cell r="F1546">
            <v>990</v>
          </cell>
        </row>
        <row r="1547">
          <cell r="A1547">
            <v>46052</v>
          </cell>
          <cell r="D1547" t="str">
            <v>Оганов А.С.0102</v>
          </cell>
          <cell r="F1547">
            <v>790</v>
          </cell>
        </row>
        <row r="1548">
          <cell r="A1548">
            <v>46052</v>
          </cell>
          <cell r="D1548" t="str">
            <v>Оганов А.С.0102</v>
          </cell>
          <cell r="F1548">
            <v>1170</v>
          </cell>
        </row>
        <row r="1549">
          <cell r="A1549">
            <v>46052</v>
          </cell>
          <cell r="D1549" t="str">
            <v>Екатерина 2201</v>
          </cell>
          <cell r="F1549">
            <v>4490</v>
          </cell>
        </row>
        <row r="1550">
          <cell r="A1550">
            <v>46052</v>
          </cell>
          <cell r="D1550" t="str">
            <v>Екатерина 2201</v>
          </cell>
          <cell r="F1550">
            <v>2490</v>
          </cell>
        </row>
        <row r="1551">
          <cell r="A1551">
            <v>46052</v>
          </cell>
          <cell r="D1551" t="str">
            <v>Вероника 1996</v>
          </cell>
          <cell r="F1551">
            <v>790</v>
          </cell>
        </row>
        <row r="1552">
          <cell r="A1552">
            <v>46052</v>
          </cell>
          <cell r="D1552" t="str">
            <v>Вероника 1996</v>
          </cell>
          <cell r="F1552">
            <v>290</v>
          </cell>
        </row>
        <row r="1553">
          <cell r="A1553">
            <v>46052</v>
          </cell>
          <cell r="D1553" t="str">
            <v>Вероника 1996</v>
          </cell>
          <cell r="F1553">
            <v>0</v>
          </cell>
        </row>
        <row r="1554">
          <cell r="A1554">
            <v>46052</v>
          </cell>
          <cell r="D1554" t="str">
            <v>Екатерина 2201</v>
          </cell>
          <cell r="F1554">
            <v>2860</v>
          </cell>
        </row>
        <row r="1555">
          <cell r="A1555">
            <v>46052</v>
          </cell>
          <cell r="D1555" t="str">
            <v>Екатерина 2201</v>
          </cell>
          <cell r="F1555">
            <v>980</v>
          </cell>
        </row>
        <row r="1556">
          <cell r="A1556">
            <v>46052</v>
          </cell>
          <cell r="D1556" t="str">
            <v>Оганов А.С.5984</v>
          </cell>
          <cell r="F1556">
            <v>690</v>
          </cell>
        </row>
        <row r="1557">
          <cell r="A1557">
            <v>46052</v>
          </cell>
          <cell r="D1557" t="str">
            <v>Вероника 1996</v>
          </cell>
          <cell r="F1557">
            <v>700</v>
          </cell>
        </row>
        <row r="1558">
          <cell r="A1558">
            <v>46052</v>
          </cell>
          <cell r="D1558" t="str">
            <v>Вероника 1996</v>
          </cell>
          <cell r="F1558">
            <v>2600</v>
          </cell>
        </row>
        <row r="1559">
          <cell r="A1559">
            <v>46052</v>
          </cell>
          <cell r="D1559" t="str">
            <v>Вероника 1996</v>
          </cell>
          <cell r="F1559">
            <v>3000</v>
          </cell>
        </row>
        <row r="1560">
          <cell r="A1560">
            <v>46052</v>
          </cell>
          <cell r="D1560" t="str">
            <v>Оганов А.С.0102</v>
          </cell>
          <cell r="F1560">
            <v>0</v>
          </cell>
        </row>
        <row r="1561">
          <cell r="A1561">
            <v>46052</v>
          </cell>
          <cell r="D1561" t="str">
            <v>Вероника 1996</v>
          </cell>
          <cell r="F1561">
            <v>0</v>
          </cell>
        </row>
        <row r="1562">
          <cell r="A1562">
            <v>46052</v>
          </cell>
          <cell r="D1562" t="str">
            <v>Екатерина 2201</v>
          </cell>
          <cell r="F1562">
            <v>1380</v>
          </cell>
        </row>
        <row r="1563">
          <cell r="A1563">
            <v>46052</v>
          </cell>
          <cell r="D1563" t="str">
            <v>Оганов А.С.5984</v>
          </cell>
          <cell r="F1563">
            <v>0</v>
          </cell>
        </row>
        <row r="1564">
          <cell r="A1564">
            <v>46052</v>
          </cell>
          <cell r="D1564" t="str">
            <v>Оганов А.С.5984</v>
          </cell>
          <cell r="F1564">
            <v>6000</v>
          </cell>
        </row>
        <row r="1565">
          <cell r="A1565">
            <v>46052</v>
          </cell>
          <cell r="D1565" t="str">
            <v>Оганов А.С.0102</v>
          </cell>
          <cell r="F1565">
            <v>7000</v>
          </cell>
        </row>
        <row r="1566">
          <cell r="A1566">
            <v>46052</v>
          </cell>
          <cell r="D1566" t="str">
            <v>Оганов А.С.0102</v>
          </cell>
          <cell r="F1566">
            <v>2690</v>
          </cell>
        </row>
        <row r="1567">
          <cell r="A1567">
            <v>46052</v>
          </cell>
          <cell r="D1567" t="str">
            <v>Вероника 1996</v>
          </cell>
          <cell r="F1567">
            <v>5000</v>
          </cell>
        </row>
        <row r="1568">
          <cell r="A1568">
            <v>46052</v>
          </cell>
          <cell r="D1568" t="str">
            <v>Екатерина 2201</v>
          </cell>
          <cell r="F1568">
            <v>5000</v>
          </cell>
        </row>
        <row r="1569">
          <cell r="A1569">
            <v>46052</v>
          </cell>
          <cell r="D1569" t="str">
            <v>Вероника 1996</v>
          </cell>
          <cell r="F1569">
            <v>0</v>
          </cell>
        </row>
        <row r="1570">
          <cell r="A1570">
            <v>46052</v>
          </cell>
          <cell r="D1570" t="str">
            <v>Екатерина 2201</v>
          </cell>
          <cell r="F1570">
            <v>4000</v>
          </cell>
        </row>
        <row r="1571">
          <cell r="A1571">
            <v>46052</v>
          </cell>
          <cell r="D1571" t="str">
            <v>Оганов А.С.0102</v>
          </cell>
          <cell r="F1571">
            <v>1580</v>
          </cell>
        </row>
        <row r="1572">
          <cell r="A1572">
            <v>46052</v>
          </cell>
          <cell r="D1572" t="str">
            <v>Вероника 1996</v>
          </cell>
          <cell r="F1572">
            <v>0</v>
          </cell>
        </row>
        <row r="1573">
          <cell r="A1573">
            <v>46052</v>
          </cell>
          <cell r="D1573" t="str">
            <v>Вероника 1996</v>
          </cell>
          <cell r="F1573">
            <v>0</v>
          </cell>
        </row>
        <row r="1574">
          <cell r="A1574">
            <v>46052</v>
          </cell>
          <cell r="D1574" t="str">
            <v>Вероника 1996</v>
          </cell>
          <cell r="F1574">
            <v>1690</v>
          </cell>
        </row>
        <row r="1575">
          <cell r="A1575">
            <v>46052</v>
          </cell>
          <cell r="D1575" t="str">
            <v>Вероника 1996</v>
          </cell>
          <cell r="F1575">
            <v>0</v>
          </cell>
        </row>
        <row r="1576">
          <cell r="A1576">
            <v>46052</v>
          </cell>
          <cell r="D1576" t="str">
            <v>Вероника 1996</v>
          </cell>
          <cell r="F1576">
            <v>5500</v>
          </cell>
        </row>
        <row r="1577">
          <cell r="A1577">
            <v>46053</v>
          </cell>
          <cell r="D1577" t="str">
            <v>Оганов А.С.7272</v>
          </cell>
          <cell r="F1577">
            <v>0</v>
          </cell>
        </row>
        <row r="1578">
          <cell r="A1578">
            <v>46053</v>
          </cell>
          <cell r="D1578" t="str">
            <v>Оганов А.С.7272</v>
          </cell>
          <cell r="F1578">
            <v>0</v>
          </cell>
        </row>
        <row r="1579">
          <cell r="A1579">
            <v>46053</v>
          </cell>
          <cell r="D1579" t="str">
            <v>Вероника 1996</v>
          </cell>
          <cell r="F1579">
            <v>1580</v>
          </cell>
        </row>
        <row r="1580">
          <cell r="A1580">
            <v>46053</v>
          </cell>
          <cell r="D1580" t="str">
            <v>Вероника 1996</v>
          </cell>
          <cell r="F1580">
            <v>1000</v>
          </cell>
        </row>
        <row r="1581">
          <cell r="A1581">
            <v>46053</v>
          </cell>
          <cell r="D1581" t="str">
            <v>Вероника 1996</v>
          </cell>
          <cell r="F1581">
            <v>1580</v>
          </cell>
        </row>
        <row r="1582">
          <cell r="A1582">
            <v>46053</v>
          </cell>
          <cell r="D1582" t="str">
            <v>Вероника 1996</v>
          </cell>
          <cell r="F1582">
            <v>2400</v>
          </cell>
        </row>
        <row r="1583">
          <cell r="A1583">
            <v>46053</v>
          </cell>
          <cell r="D1583" t="str">
            <v>Вероника 1996</v>
          </cell>
          <cell r="F1583">
            <v>2500</v>
          </cell>
        </row>
        <row r="1584">
          <cell r="A1584">
            <v>46053</v>
          </cell>
          <cell r="D1584" t="str">
            <v>Оганов А.С.5984</v>
          </cell>
          <cell r="F1584">
            <v>1490</v>
          </cell>
        </row>
        <row r="1585">
          <cell r="A1585">
            <v>46053</v>
          </cell>
          <cell r="D1585" t="str">
            <v>Оганов А.С.7272</v>
          </cell>
          <cell r="F1585">
            <v>2980</v>
          </cell>
        </row>
        <row r="1586">
          <cell r="A1586">
            <v>46053</v>
          </cell>
          <cell r="D1586" t="str">
            <v>Оганов А.С.1505</v>
          </cell>
          <cell r="F1586">
            <v>4000</v>
          </cell>
        </row>
        <row r="1587">
          <cell r="A1587">
            <v>46053</v>
          </cell>
          <cell r="D1587" t="str">
            <v>Кнац Е.</v>
          </cell>
          <cell r="F1587">
            <v>3500</v>
          </cell>
        </row>
        <row r="1588">
          <cell r="A1588">
            <v>46053</v>
          </cell>
          <cell r="D1588" t="str">
            <v>Кнац Е.</v>
          </cell>
          <cell r="F1588">
            <v>2690</v>
          </cell>
        </row>
        <row r="1589">
          <cell r="A1589">
            <v>46053</v>
          </cell>
          <cell r="D1589" t="str">
            <v>Екатерина 2201</v>
          </cell>
          <cell r="F1589">
            <v>490</v>
          </cell>
        </row>
        <row r="1590">
          <cell r="A1590">
            <v>46053</v>
          </cell>
          <cell r="D1590" t="str">
            <v>Вероника 1996</v>
          </cell>
          <cell r="F1590">
            <v>6500</v>
          </cell>
        </row>
        <row r="1591">
          <cell r="A1591">
            <v>46053</v>
          </cell>
          <cell r="D1591" t="str">
            <v>Вероника 1996</v>
          </cell>
          <cell r="F1591">
            <v>3000</v>
          </cell>
        </row>
        <row r="1592">
          <cell r="A1592">
            <v>46053</v>
          </cell>
          <cell r="D1592" t="str">
            <v>Вероника 1996</v>
          </cell>
          <cell r="F1592">
            <v>1000</v>
          </cell>
        </row>
        <row r="1593">
          <cell r="A1593">
            <v>46053</v>
          </cell>
          <cell r="D1593" t="str">
            <v>Вероника 1996</v>
          </cell>
          <cell r="F1593">
            <v>1350</v>
          </cell>
        </row>
        <row r="1594">
          <cell r="A1594">
            <v>46053</v>
          </cell>
          <cell r="D1594" t="str">
            <v>Вероника 1996</v>
          </cell>
          <cell r="F1594">
            <v>1000</v>
          </cell>
        </row>
        <row r="1595">
          <cell r="A1595">
            <v>46053</v>
          </cell>
          <cell r="D1595" t="str">
            <v>Вероника 1996</v>
          </cell>
          <cell r="F1595">
            <v>0</v>
          </cell>
        </row>
        <row r="1596">
          <cell r="A1596">
            <v>46053</v>
          </cell>
          <cell r="D1596" t="str">
            <v>Любовь 1302</v>
          </cell>
          <cell r="F1596">
            <v>4790</v>
          </cell>
        </row>
        <row r="1597">
          <cell r="A1597">
            <v>46053</v>
          </cell>
          <cell r="D1597" t="str">
            <v>Любовь 1302</v>
          </cell>
          <cell r="F1597">
            <v>1390</v>
          </cell>
        </row>
        <row r="1598">
          <cell r="A1598">
            <v>46053</v>
          </cell>
          <cell r="D1598" t="str">
            <v>Оганов А.С.5984</v>
          </cell>
          <cell r="F1598">
            <v>790</v>
          </cell>
        </row>
        <row r="1599">
          <cell r="A1599">
            <v>46053</v>
          </cell>
          <cell r="D1599" t="str">
            <v>Любовь 1302</v>
          </cell>
          <cell r="F1599">
            <v>400</v>
          </cell>
        </row>
        <row r="1600">
          <cell r="A1600">
            <v>46053</v>
          </cell>
          <cell r="D1600" t="str">
            <v>Любовь 1302</v>
          </cell>
          <cell r="F1600">
            <v>1790</v>
          </cell>
        </row>
        <row r="1601">
          <cell r="A1601">
            <v>46053</v>
          </cell>
          <cell r="D1601" t="str">
            <v>Оганов А.С.2404</v>
          </cell>
          <cell r="F1601">
            <v>6000</v>
          </cell>
        </row>
        <row r="1602">
          <cell r="A1602">
            <v>46053</v>
          </cell>
          <cell r="D1602" t="str">
            <v>Екатерина 2201</v>
          </cell>
          <cell r="F1602">
            <v>1690</v>
          </cell>
        </row>
        <row r="1603">
          <cell r="A1603">
            <v>46053</v>
          </cell>
          <cell r="D1603" t="str">
            <v>Вероника 1996</v>
          </cell>
          <cell r="F1603">
            <v>5500</v>
          </cell>
        </row>
        <row r="1604">
          <cell r="A1604">
            <v>46053</v>
          </cell>
          <cell r="D1604" t="str">
            <v>Вероника 1996</v>
          </cell>
          <cell r="F1604">
            <v>1500</v>
          </cell>
        </row>
        <row r="1605">
          <cell r="A1605">
            <v>46053</v>
          </cell>
          <cell r="D1605" t="str">
            <v>Екатерина 2201</v>
          </cell>
          <cell r="F1605">
            <v>3000</v>
          </cell>
        </row>
        <row r="1606">
          <cell r="A1606">
            <v>46053</v>
          </cell>
          <cell r="D1606" t="str">
            <v>Екатерина 2201</v>
          </cell>
          <cell r="F1606">
            <v>990</v>
          </cell>
        </row>
        <row r="1607">
          <cell r="A1607">
            <v>46053</v>
          </cell>
          <cell r="D1607" t="str">
            <v>Екатерина 2201</v>
          </cell>
          <cell r="F1607">
            <v>2860</v>
          </cell>
        </row>
        <row r="1608">
          <cell r="A1608">
            <v>46053</v>
          </cell>
          <cell r="D1608" t="str">
            <v>Екатерина 2201</v>
          </cell>
          <cell r="F1608">
            <v>1490</v>
          </cell>
        </row>
        <row r="1609">
          <cell r="A1609">
            <v>46053</v>
          </cell>
          <cell r="D1609" t="str">
            <v>Екатерина 2201</v>
          </cell>
          <cell r="F1609">
            <v>0</v>
          </cell>
        </row>
        <row r="1610">
          <cell r="A1610">
            <v>46053</v>
          </cell>
          <cell r="D1610" t="str">
            <v>Оганов А.С.5984</v>
          </cell>
          <cell r="F1610">
            <v>2980</v>
          </cell>
        </row>
        <row r="1611">
          <cell r="A1611">
            <v>46053</v>
          </cell>
          <cell r="D1611" t="str">
            <v>Екатерина 2201</v>
          </cell>
          <cell r="F1611">
            <v>3000</v>
          </cell>
        </row>
        <row r="1612">
          <cell r="A1612">
            <v>46053</v>
          </cell>
          <cell r="D1612" t="str">
            <v>Оганов А.С.7272</v>
          </cell>
          <cell r="F1612">
            <v>3580</v>
          </cell>
        </row>
        <row r="1613">
          <cell r="A1613">
            <v>46053</v>
          </cell>
          <cell r="D1613" t="str">
            <v>Оганов А.С.7272</v>
          </cell>
          <cell r="F1613">
            <v>2250</v>
          </cell>
        </row>
        <row r="1614">
          <cell r="A1614">
            <v>46053</v>
          </cell>
          <cell r="D1614" t="str">
            <v>Оганов А.С.7272</v>
          </cell>
          <cell r="F1614">
            <v>1500</v>
          </cell>
        </row>
        <row r="1615">
          <cell r="A1615">
            <v>46053</v>
          </cell>
          <cell r="D1615" t="str">
            <v>Вероника 1996</v>
          </cell>
          <cell r="F1615">
            <v>4580</v>
          </cell>
        </row>
        <row r="1616">
          <cell r="A1616">
            <v>46053</v>
          </cell>
          <cell r="D1616" t="str">
            <v>Вероника 1996</v>
          </cell>
          <cell r="F1616">
            <v>3180</v>
          </cell>
        </row>
        <row r="1617">
          <cell r="A1617">
            <v>46053</v>
          </cell>
          <cell r="D1617" t="str">
            <v>Вероника 1996</v>
          </cell>
          <cell r="F1617">
            <v>3000</v>
          </cell>
        </row>
        <row r="1618">
          <cell r="A1618">
            <v>46053</v>
          </cell>
          <cell r="D1618" t="str">
            <v>Оганов А.С.2404</v>
          </cell>
          <cell r="F1618">
            <v>1380</v>
          </cell>
        </row>
        <row r="1619">
          <cell r="A1619">
            <v>46053</v>
          </cell>
          <cell r="D1619" t="str">
            <v>Оганов А.С.2404</v>
          </cell>
          <cell r="F1619">
            <v>1000</v>
          </cell>
        </row>
        <row r="1620">
          <cell r="A1620">
            <v>46053</v>
          </cell>
          <cell r="D1620" t="str">
            <v>Вероника 1996</v>
          </cell>
          <cell r="F1620">
            <v>1500</v>
          </cell>
        </row>
        <row r="1621">
          <cell r="A1621">
            <v>46053</v>
          </cell>
          <cell r="D1621" t="str">
            <v>Вероника 1996</v>
          </cell>
          <cell r="F1621">
            <v>800</v>
          </cell>
        </row>
        <row r="1622">
          <cell r="A1622">
            <v>46053</v>
          </cell>
          <cell r="D1622" t="str">
            <v>Вероника 1996</v>
          </cell>
          <cell r="F1622">
            <v>0</v>
          </cell>
        </row>
        <row r="1623">
          <cell r="A1623">
            <v>46053</v>
          </cell>
          <cell r="D1623" t="str">
            <v>Вероника 1996</v>
          </cell>
          <cell r="F1623">
            <v>800</v>
          </cell>
        </row>
        <row r="1624">
          <cell r="A1624">
            <v>46053</v>
          </cell>
          <cell r="D1624" t="str">
            <v>Вероника 1996</v>
          </cell>
          <cell r="F1624">
            <v>1000</v>
          </cell>
        </row>
        <row r="1625">
          <cell r="A1625">
            <v>46053</v>
          </cell>
          <cell r="D1625" t="str">
            <v>Оганов А.С.7272</v>
          </cell>
          <cell r="F1625">
            <v>0</v>
          </cell>
        </row>
        <row r="1626">
          <cell r="A1626">
            <v>46053</v>
          </cell>
          <cell r="D1626" t="str">
            <v>Оганов А.С.7272</v>
          </cell>
          <cell r="F1626">
            <v>790</v>
          </cell>
        </row>
        <row r="1627">
          <cell r="A1627">
            <v>46053</v>
          </cell>
          <cell r="D1627" t="str">
            <v>Оганов А.С.7272</v>
          </cell>
          <cell r="F1627">
            <v>2000</v>
          </cell>
        </row>
        <row r="1628">
          <cell r="A1628">
            <v>46053</v>
          </cell>
          <cell r="D1628" t="str">
            <v>Оганов А.С.5984</v>
          </cell>
          <cell r="F1628">
            <v>690</v>
          </cell>
        </row>
        <row r="1629">
          <cell r="A1629">
            <v>46053</v>
          </cell>
          <cell r="D1629" t="str">
            <v>Оганов А.С.7272</v>
          </cell>
          <cell r="F1629">
            <v>2500</v>
          </cell>
        </row>
        <row r="1630">
          <cell r="A1630">
            <v>46053</v>
          </cell>
          <cell r="D1630" t="str">
            <v>Оганов А.С.7272</v>
          </cell>
          <cell r="F1630">
            <v>9500</v>
          </cell>
        </row>
        <row r="1631">
          <cell r="A1631">
            <v>46053</v>
          </cell>
          <cell r="D1631" t="str">
            <v>Любовь 1302</v>
          </cell>
          <cell r="F1631">
            <v>1295</v>
          </cell>
        </row>
        <row r="1632">
          <cell r="A1632">
            <v>46053</v>
          </cell>
          <cell r="D1632" t="str">
            <v>Екатерина 2201</v>
          </cell>
          <cell r="F1632">
            <v>1690</v>
          </cell>
        </row>
        <row r="1633">
          <cell r="A1633">
            <v>46053</v>
          </cell>
          <cell r="D1633" t="str">
            <v>Любовь 1302</v>
          </cell>
          <cell r="F1633">
            <v>1450</v>
          </cell>
        </row>
        <row r="1634">
          <cell r="A1634">
            <v>46053</v>
          </cell>
          <cell r="D1634" t="str">
            <v>Оганов А.С.5984</v>
          </cell>
          <cell r="F1634">
            <v>7000</v>
          </cell>
        </row>
        <row r="1635">
          <cell r="A1635">
            <v>46053</v>
          </cell>
          <cell r="D1635" t="str">
            <v>Оганов А.С.5984</v>
          </cell>
          <cell r="F1635">
            <v>2690</v>
          </cell>
        </row>
        <row r="1636">
          <cell r="A1636">
            <v>46053</v>
          </cell>
          <cell r="D1636" t="str">
            <v>Оганов А.С.5984</v>
          </cell>
          <cell r="F1636">
            <v>7000</v>
          </cell>
        </row>
        <row r="1637">
          <cell r="A1637">
            <v>46053</v>
          </cell>
          <cell r="D1637" t="str">
            <v>Оганов А.С.5984</v>
          </cell>
          <cell r="F1637">
            <v>2690</v>
          </cell>
        </row>
        <row r="1638">
          <cell r="A1638">
            <v>46053</v>
          </cell>
          <cell r="D1638" t="str">
            <v>Вероника 1996</v>
          </cell>
          <cell r="F1638">
            <v>4500</v>
          </cell>
        </row>
        <row r="1639">
          <cell r="A1639">
            <v>46053</v>
          </cell>
          <cell r="D1639" t="str">
            <v>Вероника 1996</v>
          </cell>
          <cell r="F1639">
            <v>800</v>
          </cell>
        </row>
        <row r="1640">
          <cell r="A1640">
            <v>46053</v>
          </cell>
          <cell r="D1640" t="str">
            <v>Вероника 1996</v>
          </cell>
          <cell r="F1640">
            <v>3580</v>
          </cell>
        </row>
        <row r="1641">
          <cell r="A1641">
            <v>46053</v>
          </cell>
          <cell r="D1641" t="str">
            <v>Вероника 1996</v>
          </cell>
          <cell r="F1641">
            <v>1000</v>
          </cell>
        </row>
        <row r="1642">
          <cell r="A1642">
            <v>46053</v>
          </cell>
          <cell r="D1642" t="str">
            <v>Оганов А.С.5984</v>
          </cell>
          <cell r="F1642">
            <v>1500</v>
          </cell>
        </row>
        <row r="1643">
          <cell r="A1643">
            <v>46053</v>
          </cell>
          <cell r="D1643" t="str">
            <v>Оганов А.С.5984</v>
          </cell>
          <cell r="F1643">
            <v>790</v>
          </cell>
        </row>
        <row r="1644">
          <cell r="A1644">
            <v>46053</v>
          </cell>
          <cell r="D1644" t="str">
            <v>Оганов А.С.7272</v>
          </cell>
          <cell r="F1644">
            <v>7000</v>
          </cell>
        </row>
        <row r="1645">
          <cell r="A1645">
            <v>46053</v>
          </cell>
          <cell r="D1645" t="str">
            <v>Оганов А.С.2404</v>
          </cell>
          <cell r="F1645">
            <v>1500</v>
          </cell>
        </row>
        <row r="1646">
          <cell r="A1646">
            <v>46053</v>
          </cell>
          <cell r="D1646" t="str">
            <v>Оганов А.С.5984</v>
          </cell>
          <cell r="F1646">
            <v>2390</v>
          </cell>
        </row>
        <row r="1647">
          <cell r="A1647">
            <v>46053</v>
          </cell>
          <cell r="D1647" t="str">
            <v>Оганов А.С.5984</v>
          </cell>
          <cell r="F1647">
            <v>1490</v>
          </cell>
        </row>
        <row r="1648">
          <cell r="A1648">
            <v>46053</v>
          </cell>
          <cell r="D1648" t="str">
            <v>Оганов А.С.5984</v>
          </cell>
          <cell r="F1648">
            <v>1180</v>
          </cell>
        </row>
        <row r="1649">
          <cell r="A1649">
            <v>46053</v>
          </cell>
          <cell r="D1649" t="str">
            <v>Екатерина 2201</v>
          </cell>
          <cell r="F1649">
            <v>5490</v>
          </cell>
        </row>
        <row r="1650">
          <cell r="A1650">
            <v>46053</v>
          </cell>
          <cell r="D1650" t="str">
            <v>Вероника 1996</v>
          </cell>
          <cell r="F1650">
            <v>800</v>
          </cell>
        </row>
        <row r="1651">
          <cell r="A1651">
            <v>46053</v>
          </cell>
          <cell r="D1651" t="str">
            <v>Вероника 1996</v>
          </cell>
          <cell r="F1651">
            <v>2500</v>
          </cell>
        </row>
        <row r="1652">
          <cell r="A1652">
            <v>46053</v>
          </cell>
          <cell r="D1652" t="str">
            <v>Вероника 1996</v>
          </cell>
          <cell r="F1652">
            <v>1500</v>
          </cell>
        </row>
        <row r="1653">
          <cell r="A1653">
            <v>46053</v>
          </cell>
          <cell r="D1653" t="str">
            <v>Оганов А.С.2404</v>
          </cell>
          <cell r="F1653">
            <v>1390</v>
          </cell>
        </row>
        <row r="1654">
          <cell r="A1654">
            <v>46053</v>
          </cell>
          <cell r="D1654" t="str">
            <v>Вероника 1996</v>
          </cell>
          <cell r="F1654">
            <v>1380</v>
          </cell>
        </row>
        <row r="1655">
          <cell r="A1655">
            <v>46053</v>
          </cell>
          <cell r="D1655" t="str">
            <v>Екатерина 2201</v>
          </cell>
          <cell r="F1655">
            <v>1180</v>
          </cell>
        </row>
        <row r="1656">
          <cell r="A1656">
            <v>46053</v>
          </cell>
          <cell r="D1656" t="str">
            <v>Екатерина 2201</v>
          </cell>
          <cell r="F1656">
            <v>2000</v>
          </cell>
        </row>
        <row r="1657">
          <cell r="A1657">
            <v>46053</v>
          </cell>
          <cell r="D1657" t="str">
            <v>Екатерина 2201</v>
          </cell>
          <cell r="F1657">
            <v>1290</v>
          </cell>
        </row>
        <row r="1658">
          <cell r="A1658">
            <v>46053</v>
          </cell>
          <cell r="D1658" t="str">
            <v>Екатерина 2201</v>
          </cell>
          <cell r="F1658">
            <v>0</v>
          </cell>
        </row>
        <row r="1659">
          <cell r="A1659">
            <v>46053</v>
          </cell>
          <cell r="D1659" t="str">
            <v>Екатерина 2201</v>
          </cell>
          <cell r="F1659">
            <v>2390</v>
          </cell>
        </row>
        <row r="1660">
          <cell r="A1660">
            <v>46053</v>
          </cell>
          <cell r="D1660" t="str">
            <v>Екатерина 2201</v>
          </cell>
          <cell r="F1660">
            <v>0</v>
          </cell>
        </row>
        <row r="1661">
          <cell r="A1661">
            <v>46053</v>
          </cell>
          <cell r="D1661" t="str">
            <v>Екатерина 2201</v>
          </cell>
          <cell r="F1661">
            <v>490</v>
          </cell>
        </row>
        <row r="1662">
          <cell r="A1662">
            <v>46053</v>
          </cell>
          <cell r="D1662" t="str">
            <v>Екатерина 2201</v>
          </cell>
          <cell r="F1662">
            <v>1470</v>
          </cell>
        </row>
        <row r="1663">
          <cell r="A1663">
            <v>46053</v>
          </cell>
          <cell r="D1663" t="str">
            <v>Екатерина 2201</v>
          </cell>
          <cell r="F1663">
            <v>0</v>
          </cell>
        </row>
        <row r="1664">
          <cell r="A1664">
            <v>46053</v>
          </cell>
          <cell r="D1664" t="str">
            <v>Екатерина 2201</v>
          </cell>
          <cell r="F1664">
            <v>3000</v>
          </cell>
        </row>
        <row r="1665">
          <cell r="A1665">
            <v>46053</v>
          </cell>
          <cell r="D1665" t="str">
            <v>Екатерина 2201</v>
          </cell>
          <cell r="F1665">
            <v>2980</v>
          </cell>
        </row>
        <row r="1666">
          <cell r="A1666">
            <v>46053</v>
          </cell>
          <cell r="D1666" t="str">
            <v>Екатерина 2201</v>
          </cell>
          <cell r="F1666">
            <v>2980</v>
          </cell>
        </row>
        <row r="1667">
          <cell r="A1667">
            <v>46054</v>
          </cell>
          <cell r="D1667" t="str">
            <v>Виктория 2502</v>
          </cell>
          <cell r="F1667">
            <v>2590</v>
          </cell>
        </row>
        <row r="1668">
          <cell r="A1668">
            <v>46054</v>
          </cell>
          <cell r="D1668" t="str">
            <v>Виктория 2502</v>
          </cell>
          <cell r="F1668">
            <v>0</v>
          </cell>
        </row>
        <row r="1669">
          <cell r="A1669">
            <v>46054</v>
          </cell>
          <cell r="D1669" t="str">
            <v>Виктория 2502</v>
          </cell>
          <cell r="F1669">
            <v>4000</v>
          </cell>
        </row>
        <row r="1670">
          <cell r="A1670">
            <v>46054</v>
          </cell>
          <cell r="D1670" t="str">
            <v>Виктория 2502</v>
          </cell>
          <cell r="F1670">
            <v>390</v>
          </cell>
        </row>
        <row r="1671">
          <cell r="A1671">
            <v>46054</v>
          </cell>
          <cell r="D1671" t="str">
            <v>Виктория 2502</v>
          </cell>
          <cell r="F1671">
            <v>6000</v>
          </cell>
        </row>
        <row r="1672">
          <cell r="A1672">
            <v>46054</v>
          </cell>
          <cell r="D1672" t="str">
            <v>Виктория 2502</v>
          </cell>
          <cell r="F1672">
            <v>3000</v>
          </cell>
        </row>
        <row r="1673">
          <cell r="A1673">
            <v>46054</v>
          </cell>
          <cell r="D1673" t="str">
            <v>Оганов А.С.7272</v>
          </cell>
          <cell r="F1673">
            <v>1280</v>
          </cell>
        </row>
        <row r="1674">
          <cell r="A1674">
            <v>46054</v>
          </cell>
          <cell r="D1674" t="str">
            <v>Виктория 2502</v>
          </cell>
          <cell r="F1674">
            <v>1790</v>
          </cell>
        </row>
        <row r="1675">
          <cell r="A1675">
            <v>46054</v>
          </cell>
          <cell r="D1675" t="str">
            <v>Оганов А.С.7272</v>
          </cell>
          <cell r="F1675">
            <v>5500</v>
          </cell>
        </row>
        <row r="1676">
          <cell r="A1676">
            <v>46054</v>
          </cell>
          <cell r="D1676" t="str">
            <v>Оганов А.С.5984</v>
          </cell>
          <cell r="F1676">
            <v>2490</v>
          </cell>
        </row>
        <row r="1677">
          <cell r="A1677">
            <v>46054</v>
          </cell>
          <cell r="D1677" t="str">
            <v>Виктория 2502</v>
          </cell>
          <cell r="F1677">
            <v>1200</v>
          </cell>
        </row>
        <row r="1678">
          <cell r="A1678">
            <v>46054</v>
          </cell>
          <cell r="D1678" t="str">
            <v>Оганов А. С. 2106</v>
          </cell>
          <cell r="F1678">
            <v>690</v>
          </cell>
        </row>
        <row r="1679">
          <cell r="A1679">
            <v>46055</v>
          </cell>
          <cell r="D1679" t="str">
            <v>Виктория 2502</v>
          </cell>
          <cell r="F1679">
            <v>2070</v>
          </cell>
        </row>
        <row r="1680">
          <cell r="A1680">
            <v>46054</v>
          </cell>
          <cell r="D1680" t="str">
            <v>Оганов А.С.7272</v>
          </cell>
          <cell r="F1680">
            <v>590</v>
          </cell>
        </row>
        <row r="1681">
          <cell r="A1681">
            <v>46054</v>
          </cell>
          <cell r="D1681" t="str">
            <v>Оганов А.С.7272</v>
          </cell>
          <cell r="F1681">
            <v>950</v>
          </cell>
        </row>
        <row r="1682">
          <cell r="A1682">
            <v>46054</v>
          </cell>
          <cell r="D1682" t="str">
            <v>Оганов А.С.7272</v>
          </cell>
          <cell r="F1682">
            <v>4000</v>
          </cell>
        </row>
        <row r="1683">
          <cell r="A1683">
            <v>46054</v>
          </cell>
          <cell r="D1683" t="str">
            <v>Виктория 2502</v>
          </cell>
          <cell r="F1683">
            <v>500</v>
          </cell>
        </row>
        <row r="1684">
          <cell r="A1684">
            <v>46054</v>
          </cell>
          <cell r="D1684" t="str">
            <v>Виктория 2502</v>
          </cell>
          <cell r="F1684">
            <v>1500</v>
          </cell>
        </row>
        <row r="1685">
          <cell r="A1685">
            <v>46054</v>
          </cell>
          <cell r="D1685" t="str">
            <v>Оганов А.С.3007</v>
          </cell>
          <cell r="F1685">
            <v>5000</v>
          </cell>
        </row>
        <row r="1686">
          <cell r="A1686">
            <v>46054</v>
          </cell>
          <cell r="D1686" t="str">
            <v>Оганов А.С.7272</v>
          </cell>
          <cell r="F1686">
            <v>2690</v>
          </cell>
        </row>
        <row r="1687">
          <cell r="A1687">
            <v>46054</v>
          </cell>
          <cell r="D1687" t="str">
            <v>Оганов А.С.7272</v>
          </cell>
          <cell r="F1687">
            <v>1345</v>
          </cell>
        </row>
        <row r="1688">
          <cell r="A1688">
            <v>46054</v>
          </cell>
          <cell r="D1688" t="str">
            <v>Оганов А. С. 2106</v>
          </cell>
          <cell r="F1688">
            <v>4000</v>
          </cell>
        </row>
        <row r="1689">
          <cell r="A1689">
            <v>46054</v>
          </cell>
          <cell r="D1689" t="str">
            <v>Виктория 2502</v>
          </cell>
          <cell r="F1689">
            <v>5000</v>
          </cell>
        </row>
        <row r="1690">
          <cell r="A1690">
            <v>46054</v>
          </cell>
          <cell r="D1690" t="str">
            <v>Виктория 2502</v>
          </cell>
          <cell r="F1690">
            <v>3000</v>
          </cell>
        </row>
        <row r="1691">
          <cell r="A1691">
            <v>46054</v>
          </cell>
          <cell r="D1691" t="str">
            <v>Оганов А.С.5984</v>
          </cell>
          <cell r="F1691">
            <v>5500</v>
          </cell>
        </row>
        <row r="1692">
          <cell r="A1692">
            <v>46054</v>
          </cell>
          <cell r="D1692" t="str">
            <v>Оганов А.С.5984</v>
          </cell>
          <cell r="F1692">
            <v>5500</v>
          </cell>
        </row>
        <row r="1693">
          <cell r="A1693">
            <v>46054</v>
          </cell>
          <cell r="D1693" t="str">
            <v>Оганов А.С.5984</v>
          </cell>
          <cell r="F1693">
            <v>1350</v>
          </cell>
        </row>
        <row r="1694">
          <cell r="A1694">
            <v>46054</v>
          </cell>
          <cell r="D1694" t="str">
            <v>Оганов А.С.5984</v>
          </cell>
          <cell r="F1694">
            <v>1490</v>
          </cell>
        </row>
        <row r="1695">
          <cell r="A1695">
            <v>46054</v>
          </cell>
          <cell r="D1695" t="str">
            <v>Оганов А.С.5984</v>
          </cell>
          <cell r="F1695">
            <v>4490</v>
          </cell>
        </row>
        <row r="1696">
          <cell r="A1696">
            <v>46054</v>
          </cell>
          <cell r="D1696" t="str">
            <v>Оганов А.С.5984</v>
          </cell>
          <cell r="F1696">
            <v>2090</v>
          </cell>
        </row>
        <row r="1697">
          <cell r="A1697">
            <v>46054</v>
          </cell>
          <cell r="D1697" t="str">
            <v>Оганов А.С.5984</v>
          </cell>
          <cell r="F1697">
            <v>2250</v>
          </cell>
        </row>
        <row r="1698">
          <cell r="A1698">
            <v>46054</v>
          </cell>
          <cell r="D1698" t="str">
            <v>Виктория 2502</v>
          </cell>
          <cell r="F1698">
            <v>2070</v>
          </cell>
        </row>
        <row r="1699">
          <cell r="A1699">
            <v>46054</v>
          </cell>
          <cell r="D1699" t="str">
            <v>Оганов А.С.2404</v>
          </cell>
          <cell r="F1699">
            <v>1390</v>
          </cell>
        </row>
        <row r="1700">
          <cell r="A1700">
            <v>46054</v>
          </cell>
          <cell r="D1700" t="str">
            <v>Оганов А.С.2404</v>
          </cell>
          <cell r="F1700">
            <v>1390</v>
          </cell>
        </row>
        <row r="1701">
          <cell r="A1701">
            <v>46054</v>
          </cell>
          <cell r="D1701" t="str">
            <v>Оганов А.С.7272</v>
          </cell>
          <cell r="F1701">
            <v>950</v>
          </cell>
        </row>
        <row r="1702">
          <cell r="A1702">
            <v>46054</v>
          </cell>
          <cell r="D1702" t="str">
            <v>Оганов А.С.7272</v>
          </cell>
          <cell r="F1702">
            <v>2490</v>
          </cell>
        </row>
        <row r="1703">
          <cell r="A1703">
            <v>46054</v>
          </cell>
          <cell r="D1703" t="str">
            <v>Виктория 2502</v>
          </cell>
          <cell r="F1703">
            <v>690</v>
          </cell>
        </row>
        <row r="1704">
          <cell r="A1704">
            <v>46054</v>
          </cell>
          <cell r="D1704" t="str">
            <v>Оганов А.С.5984</v>
          </cell>
          <cell r="F1704">
            <v>2750</v>
          </cell>
        </row>
        <row r="1705">
          <cell r="A1705">
            <v>46054</v>
          </cell>
          <cell r="D1705" t="str">
            <v>Оганов А.С.5984</v>
          </cell>
          <cell r="F1705">
            <v>0</v>
          </cell>
        </row>
        <row r="1706">
          <cell r="A1706">
            <v>46054</v>
          </cell>
          <cell r="D1706" t="str">
            <v>Оганов А.С.2404</v>
          </cell>
          <cell r="F1706">
            <v>3000</v>
          </cell>
        </row>
        <row r="1707">
          <cell r="A1707">
            <v>46054</v>
          </cell>
          <cell r="D1707" t="str">
            <v>Оганов А.С.2404</v>
          </cell>
          <cell r="F1707">
            <v>1500</v>
          </cell>
        </row>
        <row r="1708">
          <cell r="A1708">
            <v>46054</v>
          </cell>
          <cell r="D1708" t="str">
            <v>Оганов А.С.3007</v>
          </cell>
          <cell r="F1708">
            <v>2590</v>
          </cell>
        </row>
        <row r="1709">
          <cell r="A1709">
            <v>46055</v>
          </cell>
          <cell r="D1709" t="str">
            <v>Оганов А.С.3007</v>
          </cell>
          <cell r="F1709">
            <v>1280</v>
          </cell>
        </row>
        <row r="1710">
          <cell r="A1710">
            <v>46055</v>
          </cell>
          <cell r="D1710" t="str">
            <v>Оганов А.С.3007</v>
          </cell>
          <cell r="F1710">
            <v>390</v>
          </cell>
        </row>
        <row r="1711">
          <cell r="A1711">
            <v>46055</v>
          </cell>
          <cell r="D1711" t="str">
            <v>Виктория 2502</v>
          </cell>
          <cell r="F1711">
            <v>6000</v>
          </cell>
        </row>
        <row r="1712">
          <cell r="A1712">
            <v>46055</v>
          </cell>
          <cell r="D1712" t="str">
            <v>Оганов А.С.5984</v>
          </cell>
          <cell r="F1712">
            <v>4180</v>
          </cell>
        </row>
        <row r="1713">
          <cell r="A1713">
            <v>46055</v>
          </cell>
          <cell r="D1713" t="str">
            <v>Оганов А.С.7272</v>
          </cell>
          <cell r="F1713">
            <v>7000</v>
          </cell>
        </row>
        <row r="1714">
          <cell r="A1714">
            <v>46055</v>
          </cell>
          <cell r="D1714" t="str">
            <v>Оганов А.С.3007</v>
          </cell>
          <cell r="F1714">
            <v>6000</v>
          </cell>
        </row>
        <row r="1715">
          <cell r="A1715">
            <v>46055</v>
          </cell>
          <cell r="D1715" t="str">
            <v>Оганов А.С.3007</v>
          </cell>
          <cell r="F1715">
            <v>0</v>
          </cell>
        </row>
        <row r="1716">
          <cell r="A1716">
            <v>46055</v>
          </cell>
          <cell r="D1716" t="str">
            <v>Оганов А. С. 2106</v>
          </cell>
          <cell r="F1716">
            <v>3498</v>
          </cell>
        </row>
        <row r="1717">
          <cell r="A1717">
            <v>46055</v>
          </cell>
          <cell r="D1717" t="str">
            <v>Оганов А.С.5984</v>
          </cell>
          <cell r="F1717">
            <v>2290</v>
          </cell>
        </row>
        <row r="1718">
          <cell r="A1718">
            <v>46055</v>
          </cell>
          <cell r="D1718" t="str">
            <v>Оганов А.С.5984</v>
          </cell>
          <cell r="F1718">
            <v>2000</v>
          </cell>
        </row>
        <row r="1719">
          <cell r="A1719">
            <v>46055</v>
          </cell>
          <cell r="D1719" t="str">
            <v>Оганов А.С.3007</v>
          </cell>
          <cell r="F1719">
            <v>5500</v>
          </cell>
        </row>
        <row r="1720">
          <cell r="A1720">
            <v>46055</v>
          </cell>
          <cell r="D1720" t="str">
            <v>Оганов А.С.3007</v>
          </cell>
          <cell r="F1720">
            <v>990</v>
          </cell>
        </row>
        <row r="1721">
          <cell r="A1721">
            <v>46055</v>
          </cell>
          <cell r="D1721" t="str">
            <v>Оганов А.С.3007</v>
          </cell>
          <cell r="F1721">
            <v>400</v>
          </cell>
        </row>
        <row r="1722">
          <cell r="A1722">
            <v>46055</v>
          </cell>
          <cell r="D1722" t="str">
            <v>Оганов А.С.7272</v>
          </cell>
          <cell r="F1722">
            <v>4780</v>
          </cell>
        </row>
        <row r="1723">
          <cell r="A1723">
            <v>46055</v>
          </cell>
          <cell r="D1723" t="str">
            <v>Оганов А.С.7272</v>
          </cell>
          <cell r="F1723">
            <v>2250</v>
          </cell>
        </row>
        <row r="1724">
          <cell r="A1724">
            <v>46055</v>
          </cell>
          <cell r="D1724" t="str">
            <v>Виктория 2502</v>
          </cell>
          <cell r="F1724">
            <v>2990</v>
          </cell>
        </row>
        <row r="1725">
          <cell r="A1725">
            <v>46055</v>
          </cell>
          <cell r="D1725" t="str">
            <v>Оганов А.С.2404</v>
          </cell>
          <cell r="F1725">
            <v>3500</v>
          </cell>
        </row>
        <row r="1726">
          <cell r="A1726">
            <v>46055</v>
          </cell>
          <cell r="D1726" t="str">
            <v>Оганов А.С.2404</v>
          </cell>
          <cell r="F1726">
            <v>2980</v>
          </cell>
        </row>
        <row r="1727">
          <cell r="A1727">
            <v>46055</v>
          </cell>
          <cell r="D1727" t="str">
            <v>Оганов А.С.3007</v>
          </cell>
          <cell r="F1727">
            <v>1050</v>
          </cell>
        </row>
        <row r="1728">
          <cell r="A1728">
            <v>46055</v>
          </cell>
          <cell r="D1728" t="str">
            <v>Оганов А.С.3007</v>
          </cell>
          <cell r="F1728">
            <v>3000</v>
          </cell>
        </row>
        <row r="1729">
          <cell r="A1729">
            <v>46055</v>
          </cell>
          <cell r="D1729" t="str">
            <v>Оганов А.С.3007</v>
          </cell>
          <cell r="F1729">
            <v>9000</v>
          </cell>
        </row>
        <row r="1730">
          <cell r="A1730">
            <v>46055</v>
          </cell>
          <cell r="D1730" t="str">
            <v>Оганов А.С.3007</v>
          </cell>
          <cell r="F1730">
            <v>3000</v>
          </cell>
        </row>
        <row r="1731">
          <cell r="A1731">
            <v>46055</v>
          </cell>
          <cell r="D1731" t="str">
            <v>Оганов А.С.3007</v>
          </cell>
          <cell r="F1731">
            <v>2000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Запрос1"/>
      <sheetName val="Лист1"/>
    </sheetNames>
    <sheetDataSet>
      <sheetData sheetId="0">
        <row r="2">
          <cell r="A2">
            <v>46022</v>
          </cell>
          <cell r="E2" t="str">
            <v>Виктория 2502</v>
          </cell>
          <cell r="I2">
            <v>440</v>
          </cell>
        </row>
        <row r="3">
          <cell r="A3">
            <v>46022</v>
          </cell>
          <cell r="E3" t="str">
            <v>Оганов А. С. 2106</v>
          </cell>
          <cell r="I3">
            <v>440</v>
          </cell>
        </row>
        <row r="4">
          <cell r="A4">
            <v>46022</v>
          </cell>
          <cell r="E4" t="str">
            <v>Оганов А.С.1505</v>
          </cell>
          <cell r="I4">
            <v>1450</v>
          </cell>
        </row>
        <row r="5">
          <cell r="A5">
            <v>46022</v>
          </cell>
          <cell r="E5" t="str">
            <v>Оганов А.С.1505</v>
          </cell>
          <cell r="I5">
            <v>420</v>
          </cell>
        </row>
        <row r="6">
          <cell r="A6">
            <v>46022</v>
          </cell>
          <cell r="E6" t="str">
            <v>Оганов А.С.1505</v>
          </cell>
          <cell r="I6">
            <v>420</v>
          </cell>
        </row>
        <row r="7">
          <cell r="A7">
            <v>46022</v>
          </cell>
          <cell r="E7" t="str">
            <v>Вероника 1996</v>
          </cell>
          <cell r="I7">
            <v>2080</v>
          </cell>
        </row>
        <row r="8">
          <cell r="A8">
            <v>46022</v>
          </cell>
          <cell r="E8" t="str">
            <v>Вероника 1996</v>
          </cell>
          <cell r="I8">
            <v>580</v>
          </cell>
        </row>
        <row r="9">
          <cell r="A9">
            <v>46022</v>
          </cell>
          <cell r="E9" t="str">
            <v>Вероника 1996</v>
          </cell>
          <cell r="I9">
            <v>700</v>
          </cell>
        </row>
        <row r="10">
          <cell r="A10">
            <v>46022</v>
          </cell>
          <cell r="E10" t="str">
            <v>Оганов А.С.1505</v>
          </cell>
          <cell r="I10">
            <v>1310</v>
          </cell>
        </row>
        <row r="11">
          <cell r="A11">
            <v>46022</v>
          </cell>
          <cell r="E11" t="str">
            <v>Оганов А.С.1505</v>
          </cell>
          <cell r="I11">
            <v>600</v>
          </cell>
        </row>
        <row r="12">
          <cell r="A12">
            <v>46022</v>
          </cell>
          <cell r="E12" t="str">
            <v>Оганов А.С.1505</v>
          </cell>
          <cell r="I12">
            <v>1550</v>
          </cell>
        </row>
        <row r="13">
          <cell r="A13">
            <v>46022</v>
          </cell>
          <cell r="E13" t="str">
            <v>Вероника 1996</v>
          </cell>
          <cell r="I13">
            <v>0</v>
          </cell>
        </row>
        <row r="14">
          <cell r="A14">
            <v>46024</v>
          </cell>
          <cell r="E14" t="str">
            <v>Оганов А.С.2404</v>
          </cell>
          <cell r="I14">
            <v>370</v>
          </cell>
        </row>
        <row r="15">
          <cell r="A15">
            <v>46024</v>
          </cell>
          <cell r="E15" t="str">
            <v>Оганов А.С.5984</v>
          </cell>
          <cell r="I15">
            <v>90</v>
          </cell>
        </row>
        <row r="16">
          <cell r="A16">
            <v>46024</v>
          </cell>
          <cell r="E16" t="str">
            <v>Алекс 2104</v>
          </cell>
          <cell r="I16">
            <v>130</v>
          </cell>
        </row>
        <row r="17">
          <cell r="A17">
            <v>46024</v>
          </cell>
          <cell r="E17" t="str">
            <v>Екатерина 2201</v>
          </cell>
          <cell r="I17">
            <v>175</v>
          </cell>
        </row>
        <row r="18">
          <cell r="A18">
            <v>46030</v>
          </cell>
          <cell r="E18" t="str">
            <v>Оганов А. С. 2106</v>
          </cell>
          <cell r="I18">
            <v>1300</v>
          </cell>
        </row>
        <row r="19">
          <cell r="A19">
            <v>46025</v>
          </cell>
          <cell r="E19" t="str">
            <v>Екатерина 2201</v>
          </cell>
          <cell r="I19">
            <v>400</v>
          </cell>
        </row>
        <row r="20">
          <cell r="A20">
            <v>46025</v>
          </cell>
          <cell r="E20" t="str">
            <v>Оганов А.С.5984</v>
          </cell>
          <cell r="I20">
            <v>1060</v>
          </cell>
        </row>
        <row r="21">
          <cell r="A21">
            <v>46025</v>
          </cell>
          <cell r="E21" t="str">
            <v>Оганов А.С.2404</v>
          </cell>
          <cell r="I21">
            <v>1310</v>
          </cell>
        </row>
        <row r="22">
          <cell r="A22">
            <v>46025</v>
          </cell>
          <cell r="E22" t="str">
            <v>Оганов А.С.2404</v>
          </cell>
          <cell r="I22">
            <v>1170</v>
          </cell>
        </row>
        <row r="23">
          <cell r="A23">
            <v>46025</v>
          </cell>
          <cell r="E23" t="str">
            <v>Екатерина 2201</v>
          </cell>
          <cell r="I23">
            <v>590</v>
          </cell>
        </row>
        <row r="24">
          <cell r="A24">
            <v>46025</v>
          </cell>
          <cell r="E24" t="str">
            <v>Екатерина 2201</v>
          </cell>
          <cell r="I24">
            <v>900</v>
          </cell>
        </row>
        <row r="25">
          <cell r="A25">
            <v>46025</v>
          </cell>
          <cell r="E25" t="str">
            <v>Оганов А.С.5984</v>
          </cell>
          <cell r="I25">
            <v>1300</v>
          </cell>
        </row>
        <row r="26">
          <cell r="A26">
            <v>46025</v>
          </cell>
          <cell r="E26" t="str">
            <v>Екатерина 2201</v>
          </cell>
          <cell r="I26">
            <v>660</v>
          </cell>
        </row>
        <row r="27">
          <cell r="A27">
            <v>46025</v>
          </cell>
          <cell r="E27" t="str">
            <v>Любовь 1302</v>
          </cell>
          <cell r="I27">
            <v>190</v>
          </cell>
        </row>
        <row r="28">
          <cell r="A28">
            <v>46025</v>
          </cell>
          <cell r="E28" t="str">
            <v>Любовь 1302</v>
          </cell>
          <cell r="I28">
            <v>150</v>
          </cell>
        </row>
        <row r="29">
          <cell r="A29">
            <v>46025</v>
          </cell>
          <cell r="E29" t="str">
            <v>Оганов А.С.5984</v>
          </cell>
          <cell r="I29">
            <v>800</v>
          </cell>
        </row>
        <row r="30">
          <cell r="A30">
            <v>46025</v>
          </cell>
          <cell r="E30" t="str">
            <v>Вероника 1996</v>
          </cell>
          <cell r="I30">
            <v>2020</v>
          </cell>
        </row>
        <row r="31">
          <cell r="A31">
            <v>46026</v>
          </cell>
          <cell r="E31" t="str">
            <v>Оганов А.С.3007</v>
          </cell>
          <cell r="I31">
            <v>340</v>
          </cell>
        </row>
        <row r="32">
          <cell r="A32">
            <v>46026</v>
          </cell>
          <cell r="E32" t="str">
            <v>Вероника 1996</v>
          </cell>
          <cell r="I32">
            <v>2000</v>
          </cell>
        </row>
        <row r="33">
          <cell r="A33">
            <v>46029</v>
          </cell>
          <cell r="E33" t="str">
            <v>Оганов А.С.3007</v>
          </cell>
          <cell r="I33">
            <v>1060</v>
          </cell>
        </row>
        <row r="34">
          <cell r="A34">
            <v>46026</v>
          </cell>
          <cell r="E34" t="str">
            <v>Вероника 1996</v>
          </cell>
          <cell r="I34">
            <v>920</v>
          </cell>
        </row>
        <row r="35">
          <cell r="A35">
            <v>46026</v>
          </cell>
          <cell r="E35" t="str">
            <v>Оганов А.С.2404</v>
          </cell>
          <cell r="I35">
            <v>400</v>
          </cell>
        </row>
        <row r="36">
          <cell r="A36">
            <v>46026</v>
          </cell>
          <cell r="E36" t="str">
            <v>Оганов А.С.2404</v>
          </cell>
          <cell r="I36">
            <v>1340</v>
          </cell>
        </row>
        <row r="37">
          <cell r="A37">
            <v>46026</v>
          </cell>
          <cell r="E37" t="str">
            <v>Оганов А.С.2404</v>
          </cell>
          <cell r="I37">
            <v>2000</v>
          </cell>
        </row>
        <row r="38">
          <cell r="A38">
            <v>46026</v>
          </cell>
          <cell r="E38" t="str">
            <v>Оганов А.С.2404</v>
          </cell>
          <cell r="I38">
            <v>1600</v>
          </cell>
        </row>
        <row r="39">
          <cell r="A39">
            <v>46026</v>
          </cell>
          <cell r="E39" t="str">
            <v>Оганов А.С.2404</v>
          </cell>
          <cell r="I39">
            <v>1310</v>
          </cell>
        </row>
        <row r="40">
          <cell r="A40">
            <v>46026</v>
          </cell>
          <cell r="E40" t="str">
            <v>Вероника 1996</v>
          </cell>
          <cell r="I40">
            <v>2280</v>
          </cell>
        </row>
        <row r="41">
          <cell r="A41">
            <v>46026</v>
          </cell>
          <cell r="E41" t="str">
            <v>Вероника 1996</v>
          </cell>
          <cell r="I41">
            <v>140</v>
          </cell>
        </row>
        <row r="42">
          <cell r="A42">
            <v>46026</v>
          </cell>
          <cell r="E42" t="str">
            <v>Вероника 1996</v>
          </cell>
          <cell r="I42">
            <v>1180</v>
          </cell>
        </row>
        <row r="43">
          <cell r="A43">
            <v>46026</v>
          </cell>
          <cell r="E43" t="str">
            <v>Оганов А.С.2404</v>
          </cell>
          <cell r="I43">
            <v>860</v>
          </cell>
        </row>
        <row r="44">
          <cell r="A44">
            <v>46026</v>
          </cell>
          <cell r="E44" t="str">
            <v>Оганов А.С.2404</v>
          </cell>
          <cell r="I44">
            <v>1250</v>
          </cell>
        </row>
        <row r="45">
          <cell r="A45">
            <v>46026</v>
          </cell>
          <cell r="E45" t="str">
            <v>Виктория 2502</v>
          </cell>
          <cell r="I45">
            <v>2020</v>
          </cell>
        </row>
        <row r="46">
          <cell r="A46">
            <v>46026</v>
          </cell>
          <cell r="E46" t="str">
            <v>Вероника 1996</v>
          </cell>
          <cell r="I46">
            <v>210</v>
          </cell>
        </row>
        <row r="47">
          <cell r="A47">
            <v>46026</v>
          </cell>
          <cell r="E47" t="str">
            <v>Вероника 1996</v>
          </cell>
          <cell r="I47">
            <v>1180</v>
          </cell>
        </row>
        <row r="48">
          <cell r="A48">
            <v>46026</v>
          </cell>
          <cell r="E48" t="str">
            <v>Вероника 1996</v>
          </cell>
          <cell r="I48">
            <v>900</v>
          </cell>
        </row>
        <row r="49">
          <cell r="A49">
            <v>46026</v>
          </cell>
          <cell r="E49" t="str">
            <v>Виктория 2502</v>
          </cell>
          <cell r="I49">
            <v>540</v>
          </cell>
        </row>
        <row r="50">
          <cell r="A50">
            <v>46026</v>
          </cell>
          <cell r="E50" t="str">
            <v>Оганов А.С.3007</v>
          </cell>
          <cell r="I50">
            <v>1550</v>
          </cell>
        </row>
        <row r="51">
          <cell r="A51">
            <v>46026</v>
          </cell>
          <cell r="E51" t="str">
            <v>Оганов А.С.3007</v>
          </cell>
          <cell r="I51">
            <v>1600</v>
          </cell>
        </row>
        <row r="52">
          <cell r="A52">
            <v>46027</v>
          </cell>
          <cell r="E52" t="str">
            <v>Оганов А.С.1505</v>
          </cell>
          <cell r="I52">
            <v>1450</v>
          </cell>
        </row>
        <row r="53">
          <cell r="A53">
            <v>46027</v>
          </cell>
          <cell r="E53" t="str">
            <v>Алекс 2104</v>
          </cell>
          <cell r="I53">
            <v>1450</v>
          </cell>
        </row>
        <row r="54">
          <cell r="A54">
            <v>46027</v>
          </cell>
          <cell r="E54" t="str">
            <v>Оганов А. С. 2106</v>
          </cell>
          <cell r="I54">
            <v>420</v>
          </cell>
        </row>
        <row r="55">
          <cell r="A55">
            <v>46027</v>
          </cell>
          <cell r="E55" t="str">
            <v>Оганов А. С. 2106</v>
          </cell>
          <cell r="I55">
            <v>900</v>
          </cell>
        </row>
        <row r="56">
          <cell r="A56">
            <v>46027</v>
          </cell>
          <cell r="E56" t="str">
            <v>Виктория 2502</v>
          </cell>
          <cell r="I56">
            <v>520</v>
          </cell>
        </row>
        <row r="57">
          <cell r="A57">
            <v>46027</v>
          </cell>
          <cell r="E57" t="str">
            <v>Алекс 2104</v>
          </cell>
          <cell r="I57">
            <v>750</v>
          </cell>
        </row>
        <row r="58">
          <cell r="A58">
            <v>46027</v>
          </cell>
          <cell r="E58" t="str">
            <v>Алекс 2104</v>
          </cell>
          <cell r="I58">
            <v>750</v>
          </cell>
        </row>
        <row r="59">
          <cell r="A59">
            <v>46027</v>
          </cell>
          <cell r="E59" t="str">
            <v>Оганов А.С.3007</v>
          </cell>
          <cell r="I59">
            <v>1600</v>
          </cell>
        </row>
        <row r="60">
          <cell r="A60">
            <v>46027</v>
          </cell>
          <cell r="E60" t="str">
            <v>Оганов А. С. 2106</v>
          </cell>
          <cell r="I60">
            <v>370</v>
          </cell>
        </row>
        <row r="61">
          <cell r="A61">
            <v>46027</v>
          </cell>
          <cell r="E61" t="str">
            <v>Алекс 2104</v>
          </cell>
          <cell r="I61">
            <v>190</v>
          </cell>
        </row>
        <row r="62">
          <cell r="A62">
            <v>46027</v>
          </cell>
          <cell r="E62" t="str">
            <v>Алекс 2104</v>
          </cell>
          <cell r="I62">
            <v>230</v>
          </cell>
        </row>
        <row r="63">
          <cell r="A63">
            <v>46027</v>
          </cell>
          <cell r="E63" t="str">
            <v>Алекс 2104</v>
          </cell>
          <cell r="I63">
            <v>900</v>
          </cell>
        </row>
        <row r="64">
          <cell r="A64">
            <v>46027</v>
          </cell>
          <cell r="E64" t="str">
            <v>Виктория 2502</v>
          </cell>
          <cell r="I64">
            <v>1300</v>
          </cell>
        </row>
        <row r="65">
          <cell r="A65">
            <v>46027</v>
          </cell>
          <cell r="E65" t="str">
            <v>Виктория 2502</v>
          </cell>
          <cell r="I65">
            <v>1300</v>
          </cell>
        </row>
        <row r="66">
          <cell r="A66">
            <v>46027</v>
          </cell>
          <cell r="E66" t="str">
            <v>Оганов А.С.1505</v>
          </cell>
          <cell r="I66">
            <v>270</v>
          </cell>
        </row>
        <row r="67">
          <cell r="A67">
            <v>46027</v>
          </cell>
          <cell r="E67" t="str">
            <v>Оганов А.С.1505</v>
          </cell>
          <cell r="I67">
            <v>520</v>
          </cell>
        </row>
        <row r="68">
          <cell r="A68">
            <v>46027</v>
          </cell>
          <cell r="E68" t="str">
            <v>Оганов А. С. 2106</v>
          </cell>
          <cell r="I68">
            <v>520</v>
          </cell>
        </row>
        <row r="69">
          <cell r="A69">
            <v>46027</v>
          </cell>
          <cell r="E69" t="str">
            <v>Алекс 2104</v>
          </cell>
          <cell r="I69">
            <v>2080</v>
          </cell>
        </row>
        <row r="70">
          <cell r="A70">
            <v>46027</v>
          </cell>
          <cell r="E70" t="str">
            <v>Алекс 2104</v>
          </cell>
          <cell r="I70">
            <v>420</v>
          </cell>
        </row>
        <row r="71">
          <cell r="A71">
            <v>46027</v>
          </cell>
          <cell r="E71" t="str">
            <v>Алекс 2104</v>
          </cell>
          <cell r="I71">
            <v>1600</v>
          </cell>
        </row>
        <row r="72">
          <cell r="A72">
            <v>46028</v>
          </cell>
          <cell r="E72" t="str">
            <v>Оганов А.С.3007</v>
          </cell>
          <cell r="I72">
            <v>200</v>
          </cell>
        </row>
        <row r="73">
          <cell r="A73">
            <v>46028</v>
          </cell>
          <cell r="E73" t="str">
            <v>Оганов А.С.3007</v>
          </cell>
          <cell r="I73">
            <v>580</v>
          </cell>
        </row>
        <row r="74">
          <cell r="A74">
            <v>46028</v>
          </cell>
          <cell r="E74" t="str">
            <v>Екатерина 2201</v>
          </cell>
          <cell r="I74">
            <v>860</v>
          </cell>
        </row>
        <row r="75">
          <cell r="A75">
            <v>46028</v>
          </cell>
          <cell r="E75" t="str">
            <v>Оганов А.С.1505</v>
          </cell>
          <cell r="I75">
            <v>1600</v>
          </cell>
        </row>
        <row r="76">
          <cell r="A76">
            <v>46028</v>
          </cell>
          <cell r="E76" t="str">
            <v>Оганов А.С.1505</v>
          </cell>
          <cell r="I76">
            <v>1550</v>
          </cell>
        </row>
        <row r="77">
          <cell r="A77">
            <v>46028</v>
          </cell>
          <cell r="E77" t="str">
            <v>Оганов А.С.3007</v>
          </cell>
          <cell r="I77">
            <v>1310</v>
          </cell>
        </row>
        <row r="78">
          <cell r="A78">
            <v>46028</v>
          </cell>
          <cell r="E78" t="str">
            <v>Оганов А.С.3007</v>
          </cell>
          <cell r="I78">
            <v>150</v>
          </cell>
        </row>
        <row r="79">
          <cell r="A79">
            <v>46028</v>
          </cell>
          <cell r="E79" t="str">
            <v>Оганов А.С.3007</v>
          </cell>
          <cell r="I79">
            <v>190</v>
          </cell>
        </row>
        <row r="80">
          <cell r="A80">
            <v>46028</v>
          </cell>
          <cell r="E80" t="str">
            <v>Оганов А.С.3007</v>
          </cell>
          <cell r="I80">
            <v>580</v>
          </cell>
        </row>
        <row r="81">
          <cell r="A81">
            <v>46028</v>
          </cell>
          <cell r="E81" t="str">
            <v>Оганов А.С.3007</v>
          </cell>
          <cell r="I81">
            <v>1050</v>
          </cell>
        </row>
        <row r="82">
          <cell r="A82">
            <v>46029</v>
          </cell>
          <cell r="E82" t="str">
            <v>Оганов А.С.7272</v>
          </cell>
          <cell r="I82">
            <v>190</v>
          </cell>
        </row>
        <row r="83">
          <cell r="A83">
            <v>46029</v>
          </cell>
          <cell r="E83" t="str">
            <v>Оганов А.С.5984</v>
          </cell>
          <cell r="I83">
            <v>2220</v>
          </cell>
        </row>
        <row r="84">
          <cell r="A84">
            <v>46029</v>
          </cell>
          <cell r="E84" t="str">
            <v>Оганов А.С.1505</v>
          </cell>
          <cell r="I84">
            <v>1050</v>
          </cell>
        </row>
        <row r="85">
          <cell r="A85">
            <v>46029</v>
          </cell>
          <cell r="E85" t="str">
            <v>Екатерина 2201</v>
          </cell>
          <cell r="I85">
            <v>1300</v>
          </cell>
        </row>
        <row r="86">
          <cell r="A86">
            <v>46030</v>
          </cell>
          <cell r="E86" t="str">
            <v>Оганов А.С.3007</v>
          </cell>
          <cell r="I86">
            <v>190</v>
          </cell>
        </row>
        <row r="87">
          <cell r="A87">
            <v>46030</v>
          </cell>
          <cell r="E87" t="str">
            <v>Оганов А.С.3007</v>
          </cell>
          <cell r="I87">
            <v>1350</v>
          </cell>
        </row>
        <row r="88">
          <cell r="A88">
            <v>46030</v>
          </cell>
          <cell r="E88" t="str">
            <v>Оганов А.С.3007</v>
          </cell>
          <cell r="I88">
            <v>1300</v>
          </cell>
        </row>
        <row r="89">
          <cell r="A89">
            <v>46030</v>
          </cell>
          <cell r="E89" t="str">
            <v>Оганов А. С. 2106</v>
          </cell>
          <cell r="I89">
            <v>1550</v>
          </cell>
        </row>
        <row r="90">
          <cell r="A90">
            <v>46030</v>
          </cell>
          <cell r="E90" t="str">
            <v>Оганов А. С. 2106</v>
          </cell>
          <cell r="I90">
            <v>140</v>
          </cell>
        </row>
        <row r="91">
          <cell r="A91">
            <v>46030</v>
          </cell>
          <cell r="E91" t="str">
            <v>Оганов А. С. 2106</v>
          </cell>
          <cell r="I91">
            <v>200</v>
          </cell>
        </row>
        <row r="92">
          <cell r="A92">
            <v>46030</v>
          </cell>
          <cell r="E92" t="str">
            <v>Оганов А. С. 2106</v>
          </cell>
          <cell r="I92">
            <v>170</v>
          </cell>
        </row>
        <row r="93">
          <cell r="A93">
            <v>46030</v>
          </cell>
          <cell r="E93" t="str">
            <v>Оганов А. С. 2106</v>
          </cell>
          <cell r="I93">
            <v>1060</v>
          </cell>
        </row>
        <row r="94">
          <cell r="A94">
            <v>46030</v>
          </cell>
          <cell r="E94" t="str">
            <v>Виктория 2502</v>
          </cell>
          <cell r="I94">
            <v>520</v>
          </cell>
        </row>
        <row r="95">
          <cell r="A95">
            <v>46030</v>
          </cell>
          <cell r="E95" t="str">
            <v>Оганов А.С.3007</v>
          </cell>
          <cell r="I95">
            <v>130</v>
          </cell>
        </row>
        <row r="96">
          <cell r="A96">
            <v>46030</v>
          </cell>
          <cell r="E96" t="str">
            <v>Виктория 2502</v>
          </cell>
          <cell r="I96">
            <v>180</v>
          </cell>
        </row>
        <row r="97">
          <cell r="A97">
            <v>46030</v>
          </cell>
          <cell r="E97" t="str">
            <v>Оганов А.С.2404</v>
          </cell>
          <cell r="I97">
            <v>190</v>
          </cell>
        </row>
        <row r="98">
          <cell r="A98">
            <v>46030</v>
          </cell>
          <cell r="E98" t="str">
            <v>Оганов А.С.3007</v>
          </cell>
          <cell r="I98">
            <v>340</v>
          </cell>
        </row>
        <row r="99">
          <cell r="A99">
            <v>46030</v>
          </cell>
          <cell r="E99" t="str">
            <v>Оганов А.С.7272</v>
          </cell>
          <cell r="I99">
            <v>1680</v>
          </cell>
        </row>
        <row r="100">
          <cell r="A100">
            <v>46030</v>
          </cell>
          <cell r="E100" t="str">
            <v>Оганов А.С.7272</v>
          </cell>
          <cell r="I100">
            <v>1100</v>
          </cell>
        </row>
        <row r="101">
          <cell r="A101">
            <v>46029</v>
          </cell>
          <cell r="E101" t="str">
            <v>Оганов А.С.3007</v>
          </cell>
          <cell r="I101">
            <v>990</v>
          </cell>
        </row>
        <row r="102">
          <cell r="A102">
            <v>46029</v>
          </cell>
          <cell r="E102" t="str">
            <v>Оганов А.С.3007</v>
          </cell>
          <cell r="I102">
            <v>2080</v>
          </cell>
        </row>
        <row r="103">
          <cell r="A103">
            <v>46029</v>
          </cell>
          <cell r="E103" t="str">
            <v>Оганов А.С.3007</v>
          </cell>
          <cell r="I103">
            <v>1300</v>
          </cell>
        </row>
        <row r="104">
          <cell r="A104">
            <v>46029</v>
          </cell>
          <cell r="E104" t="str">
            <v>Оганов А.С.3007</v>
          </cell>
          <cell r="I104">
            <v>520</v>
          </cell>
        </row>
        <row r="105">
          <cell r="A105">
            <v>46030</v>
          </cell>
          <cell r="E105" t="str">
            <v>Алекс 2104</v>
          </cell>
          <cell r="I105">
            <v>420</v>
          </cell>
        </row>
        <row r="106">
          <cell r="A106">
            <v>46030</v>
          </cell>
          <cell r="E106" t="str">
            <v>Алекс 2104</v>
          </cell>
          <cell r="I106">
            <v>340</v>
          </cell>
        </row>
        <row r="107">
          <cell r="A107">
            <v>46030</v>
          </cell>
          <cell r="E107" t="str">
            <v>Алекс 2104</v>
          </cell>
          <cell r="I107">
            <v>340</v>
          </cell>
        </row>
        <row r="108">
          <cell r="A108">
            <v>46031</v>
          </cell>
          <cell r="E108" t="str">
            <v>Вероника 1996</v>
          </cell>
          <cell r="I108">
            <v>520</v>
          </cell>
        </row>
        <row r="109">
          <cell r="A109">
            <v>46031</v>
          </cell>
          <cell r="E109" t="str">
            <v>Вероника 1996</v>
          </cell>
          <cell r="I109">
            <v>920</v>
          </cell>
        </row>
        <row r="110">
          <cell r="A110">
            <v>46031</v>
          </cell>
          <cell r="E110" t="str">
            <v>Вероника 1996</v>
          </cell>
          <cell r="I110">
            <v>1180</v>
          </cell>
        </row>
        <row r="111">
          <cell r="A111">
            <v>46031</v>
          </cell>
          <cell r="E111" t="str">
            <v>Оганов А.С.2404</v>
          </cell>
          <cell r="I111">
            <v>400</v>
          </cell>
        </row>
        <row r="112">
          <cell r="A112">
            <v>46031</v>
          </cell>
          <cell r="E112" t="str">
            <v>Оганов А.С.2404</v>
          </cell>
          <cell r="I112">
            <v>175</v>
          </cell>
        </row>
        <row r="113">
          <cell r="A113">
            <v>46031</v>
          </cell>
          <cell r="E113" t="str">
            <v>Вероника 1996</v>
          </cell>
          <cell r="I113">
            <v>2020</v>
          </cell>
        </row>
        <row r="114">
          <cell r="A114">
            <v>46031</v>
          </cell>
          <cell r="E114" t="str">
            <v>Виктория 2502</v>
          </cell>
          <cell r="I114">
            <v>660</v>
          </cell>
        </row>
        <row r="115">
          <cell r="A115">
            <v>46031</v>
          </cell>
          <cell r="E115" t="str">
            <v>Оганов А.С.3007</v>
          </cell>
          <cell r="I115">
            <v>2000</v>
          </cell>
        </row>
        <row r="116">
          <cell r="A116">
            <v>46031</v>
          </cell>
          <cell r="E116" t="str">
            <v>Оганов А.С.2404</v>
          </cell>
          <cell r="I116">
            <v>330</v>
          </cell>
        </row>
        <row r="117">
          <cell r="A117">
            <v>46031</v>
          </cell>
          <cell r="E117" t="str">
            <v>Оганов А.С.2404</v>
          </cell>
          <cell r="I117">
            <v>2000</v>
          </cell>
        </row>
        <row r="118">
          <cell r="A118">
            <v>46031</v>
          </cell>
          <cell r="E118" t="str">
            <v>Оганов А.С.3007</v>
          </cell>
          <cell r="I118">
            <v>340</v>
          </cell>
        </row>
        <row r="119">
          <cell r="A119">
            <v>46031</v>
          </cell>
          <cell r="E119" t="str">
            <v>Оганов А.С.2404</v>
          </cell>
          <cell r="I119">
            <v>270</v>
          </cell>
        </row>
        <row r="120">
          <cell r="A120">
            <v>46031</v>
          </cell>
          <cell r="E120" t="str">
            <v>Оганов А.С.3007</v>
          </cell>
          <cell r="I120">
            <v>900</v>
          </cell>
        </row>
        <row r="121">
          <cell r="A121">
            <v>46031</v>
          </cell>
          <cell r="E121" t="str">
            <v>Оганов А.С.3007</v>
          </cell>
          <cell r="I121">
            <v>440</v>
          </cell>
        </row>
        <row r="122">
          <cell r="A122">
            <v>46031</v>
          </cell>
          <cell r="E122" t="str">
            <v>Оганов А.С.3007</v>
          </cell>
          <cell r="I122">
            <v>1060</v>
          </cell>
        </row>
        <row r="123">
          <cell r="A123">
            <v>46031</v>
          </cell>
          <cell r="E123" t="str">
            <v>Оганов А.С.2404</v>
          </cell>
          <cell r="I123">
            <v>660</v>
          </cell>
        </row>
        <row r="124">
          <cell r="A124">
            <v>46031</v>
          </cell>
          <cell r="E124" t="str">
            <v>Оганов А.С.3007</v>
          </cell>
          <cell r="I124">
            <v>990</v>
          </cell>
        </row>
        <row r="125">
          <cell r="A125">
            <v>46031</v>
          </cell>
          <cell r="E125" t="str">
            <v>Виктория 2502</v>
          </cell>
          <cell r="I125">
            <v>920</v>
          </cell>
        </row>
        <row r="126">
          <cell r="A126">
            <v>46031</v>
          </cell>
          <cell r="E126" t="str">
            <v>Оганов А.С.2404</v>
          </cell>
          <cell r="I126">
            <v>2000</v>
          </cell>
        </row>
        <row r="127">
          <cell r="A127">
            <v>46031</v>
          </cell>
          <cell r="E127" t="str">
            <v>Оганов А.С.2404</v>
          </cell>
          <cell r="I127">
            <v>170</v>
          </cell>
        </row>
        <row r="128">
          <cell r="A128">
            <v>46032</v>
          </cell>
          <cell r="E128" t="str">
            <v>Екатерина 2201</v>
          </cell>
          <cell r="I128">
            <v>1050</v>
          </cell>
        </row>
        <row r="129">
          <cell r="A129">
            <v>46032</v>
          </cell>
          <cell r="E129" t="str">
            <v>Вероника 1996</v>
          </cell>
          <cell r="I129">
            <v>2000</v>
          </cell>
        </row>
        <row r="130">
          <cell r="A130">
            <v>46032</v>
          </cell>
          <cell r="E130" t="str">
            <v>Вероника 1996</v>
          </cell>
          <cell r="I130">
            <v>2080</v>
          </cell>
        </row>
        <row r="131">
          <cell r="A131">
            <v>46032</v>
          </cell>
          <cell r="E131" t="str">
            <v>Вероника 1996</v>
          </cell>
          <cell r="I131">
            <v>190</v>
          </cell>
        </row>
        <row r="132">
          <cell r="A132">
            <v>46032</v>
          </cell>
          <cell r="E132" t="str">
            <v>Вероника 1996</v>
          </cell>
          <cell r="I132">
            <v>150</v>
          </cell>
        </row>
        <row r="133">
          <cell r="A133">
            <v>46032</v>
          </cell>
          <cell r="E133" t="str">
            <v>Екатерина 2201</v>
          </cell>
          <cell r="I133">
            <v>1300</v>
          </cell>
        </row>
        <row r="134">
          <cell r="A134">
            <v>46032</v>
          </cell>
          <cell r="E134" t="str">
            <v>Вероника 1996</v>
          </cell>
          <cell r="I134">
            <v>1050</v>
          </cell>
        </row>
        <row r="135">
          <cell r="A135">
            <v>46032</v>
          </cell>
          <cell r="E135" t="str">
            <v>Екатерина 2201</v>
          </cell>
          <cell r="I135">
            <v>110</v>
          </cell>
        </row>
        <row r="136">
          <cell r="A136">
            <v>46032</v>
          </cell>
          <cell r="E136" t="str">
            <v>Екатерина 2201</v>
          </cell>
          <cell r="I136">
            <v>1350</v>
          </cell>
        </row>
        <row r="137">
          <cell r="A137">
            <v>46032</v>
          </cell>
          <cell r="E137" t="str">
            <v>Вероника 1996</v>
          </cell>
          <cell r="I137">
            <v>190</v>
          </cell>
        </row>
        <row r="138">
          <cell r="A138">
            <v>46032</v>
          </cell>
          <cell r="E138" t="str">
            <v>Екатерина 2201</v>
          </cell>
          <cell r="I138">
            <v>1600</v>
          </cell>
        </row>
        <row r="139">
          <cell r="A139">
            <v>46033</v>
          </cell>
          <cell r="E139" t="str">
            <v>Любовь 1302</v>
          </cell>
          <cell r="I139">
            <v>400</v>
          </cell>
        </row>
        <row r="140">
          <cell r="A140">
            <v>46033</v>
          </cell>
          <cell r="E140" t="str">
            <v>Оганов А.С.3007</v>
          </cell>
          <cell r="I140">
            <v>1680</v>
          </cell>
        </row>
        <row r="141">
          <cell r="A141">
            <v>46033</v>
          </cell>
          <cell r="E141" t="str">
            <v>Оганов А.С.3007</v>
          </cell>
          <cell r="I141">
            <v>1880</v>
          </cell>
        </row>
        <row r="142">
          <cell r="A142">
            <v>46033</v>
          </cell>
          <cell r="E142" t="str">
            <v>Оганов А.С.3007</v>
          </cell>
          <cell r="I142">
            <v>1250</v>
          </cell>
        </row>
        <row r="143">
          <cell r="A143">
            <v>46033</v>
          </cell>
          <cell r="E143" t="str">
            <v>Любовь 1302</v>
          </cell>
          <cell r="I143">
            <v>150</v>
          </cell>
        </row>
        <row r="144">
          <cell r="A144">
            <v>46033</v>
          </cell>
          <cell r="E144" t="str">
            <v>Екатерина 2201</v>
          </cell>
          <cell r="I144">
            <v>1050</v>
          </cell>
        </row>
        <row r="145">
          <cell r="A145">
            <v>46033</v>
          </cell>
          <cell r="E145" t="str">
            <v>Оганов А.С.5984</v>
          </cell>
          <cell r="I145">
            <v>180</v>
          </cell>
        </row>
        <row r="146">
          <cell r="A146">
            <v>46033</v>
          </cell>
          <cell r="E146" t="str">
            <v>Оганов А.С.3007</v>
          </cell>
          <cell r="I146">
            <v>1600</v>
          </cell>
        </row>
        <row r="147">
          <cell r="A147">
            <v>46033</v>
          </cell>
          <cell r="E147" t="str">
            <v>Екатерина 2201</v>
          </cell>
          <cell r="I147">
            <v>110</v>
          </cell>
        </row>
        <row r="148">
          <cell r="A148">
            <v>46033</v>
          </cell>
          <cell r="E148" t="str">
            <v>Екатерина 2201</v>
          </cell>
          <cell r="I148">
            <v>1060</v>
          </cell>
        </row>
        <row r="149">
          <cell r="A149">
            <v>46033</v>
          </cell>
          <cell r="E149" t="str">
            <v>Екатерина 2201</v>
          </cell>
          <cell r="I149">
            <v>1050</v>
          </cell>
        </row>
        <row r="150">
          <cell r="A150">
            <v>46034</v>
          </cell>
          <cell r="E150" t="str">
            <v>Оганов А. С. 2106</v>
          </cell>
          <cell r="I150">
            <v>190</v>
          </cell>
        </row>
        <row r="151">
          <cell r="A151">
            <v>46033</v>
          </cell>
          <cell r="E151" t="str">
            <v>Оганов А.С.5984</v>
          </cell>
          <cell r="I151">
            <v>1560</v>
          </cell>
        </row>
        <row r="152">
          <cell r="A152">
            <v>46033</v>
          </cell>
          <cell r="E152" t="str">
            <v>Оганов А.С.5984</v>
          </cell>
          <cell r="I152">
            <v>1300</v>
          </cell>
        </row>
        <row r="153">
          <cell r="A153">
            <v>46033</v>
          </cell>
          <cell r="E153" t="str">
            <v>Оганов А.С.5984</v>
          </cell>
          <cell r="I153">
            <v>2020</v>
          </cell>
        </row>
        <row r="154">
          <cell r="A154">
            <v>46033</v>
          </cell>
          <cell r="E154" t="str">
            <v>Екатерина 2201</v>
          </cell>
          <cell r="I154">
            <v>350</v>
          </cell>
        </row>
        <row r="155">
          <cell r="A155">
            <v>46034</v>
          </cell>
          <cell r="E155" t="str">
            <v>Оганов А.С.1505</v>
          </cell>
          <cell r="I155">
            <v>150</v>
          </cell>
        </row>
        <row r="156">
          <cell r="A156">
            <v>46034</v>
          </cell>
          <cell r="E156" t="str">
            <v>Оганов А.С.3007</v>
          </cell>
          <cell r="I156">
            <v>1310</v>
          </cell>
        </row>
        <row r="157">
          <cell r="A157">
            <v>46034</v>
          </cell>
          <cell r="E157" t="str">
            <v>Оганов А. С. 2106</v>
          </cell>
          <cell r="I157">
            <v>750</v>
          </cell>
        </row>
        <row r="158">
          <cell r="A158">
            <v>46034</v>
          </cell>
          <cell r="E158" t="str">
            <v>Оганов А.С.3007</v>
          </cell>
          <cell r="I158">
            <v>1450</v>
          </cell>
        </row>
        <row r="159">
          <cell r="A159">
            <v>46034</v>
          </cell>
          <cell r="E159" t="str">
            <v>Виктория 2502</v>
          </cell>
          <cell r="I159">
            <v>440</v>
          </cell>
        </row>
        <row r="160">
          <cell r="A160">
            <v>46034</v>
          </cell>
          <cell r="E160" t="str">
            <v>Екатерина 2201</v>
          </cell>
          <cell r="I160">
            <v>340</v>
          </cell>
        </row>
        <row r="161">
          <cell r="A161">
            <v>46034</v>
          </cell>
          <cell r="E161" t="str">
            <v>Оганов А. С. 2106</v>
          </cell>
          <cell r="I161">
            <v>170</v>
          </cell>
        </row>
        <row r="162">
          <cell r="A162">
            <v>46035</v>
          </cell>
          <cell r="E162" t="str">
            <v>Вероника 1996</v>
          </cell>
          <cell r="I162">
            <v>1060</v>
          </cell>
        </row>
        <row r="163">
          <cell r="A163">
            <v>46035</v>
          </cell>
          <cell r="E163" t="str">
            <v>Вероника 1996</v>
          </cell>
          <cell r="I163">
            <v>2080</v>
          </cell>
        </row>
        <row r="164">
          <cell r="A164">
            <v>46035</v>
          </cell>
          <cell r="E164" t="str">
            <v>Оганов А.С.1505</v>
          </cell>
          <cell r="I164">
            <v>280</v>
          </cell>
        </row>
        <row r="165">
          <cell r="A165">
            <v>46035</v>
          </cell>
          <cell r="E165" t="str">
            <v>Оганов А.С.3007</v>
          </cell>
          <cell r="I165">
            <v>660</v>
          </cell>
        </row>
        <row r="166">
          <cell r="A166">
            <v>46035</v>
          </cell>
          <cell r="E166" t="str">
            <v>Оганов А.С.3007</v>
          </cell>
          <cell r="I166">
            <v>190</v>
          </cell>
        </row>
        <row r="167">
          <cell r="A167">
            <v>46035</v>
          </cell>
          <cell r="E167" t="str">
            <v>Оганов А.С.3007</v>
          </cell>
          <cell r="I167">
            <v>190</v>
          </cell>
        </row>
        <row r="168">
          <cell r="A168">
            <v>46035</v>
          </cell>
          <cell r="E168" t="str">
            <v>Оганов А.С.3007</v>
          </cell>
          <cell r="I168">
            <v>190</v>
          </cell>
        </row>
        <row r="169">
          <cell r="A169">
            <v>46035</v>
          </cell>
          <cell r="E169" t="str">
            <v>Вероника 1996</v>
          </cell>
          <cell r="I169">
            <v>1310</v>
          </cell>
        </row>
        <row r="170">
          <cell r="A170">
            <v>46035</v>
          </cell>
          <cell r="E170" t="str">
            <v>Оганов А.С.0102</v>
          </cell>
          <cell r="I170">
            <v>1550</v>
          </cell>
        </row>
        <row r="171">
          <cell r="A171">
            <v>46035</v>
          </cell>
          <cell r="E171" t="str">
            <v>Оганов А.С.0102</v>
          </cell>
          <cell r="I171">
            <v>300</v>
          </cell>
        </row>
        <row r="172">
          <cell r="A172">
            <v>46035</v>
          </cell>
          <cell r="E172" t="str">
            <v>Оганов А.С.0102</v>
          </cell>
          <cell r="I172">
            <v>2120</v>
          </cell>
        </row>
        <row r="173">
          <cell r="A173">
            <v>46035</v>
          </cell>
          <cell r="E173" t="str">
            <v>Оганов А.С.1505</v>
          </cell>
          <cell r="I173">
            <v>730</v>
          </cell>
        </row>
        <row r="174">
          <cell r="A174">
            <v>46035</v>
          </cell>
          <cell r="E174" t="str">
            <v>Оганов А.С.1505</v>
          </cell>
          <cell r="I174">
            <v>170</v>
          </cell>
        </row>
        <row r="175">
          <cell r="A175">
            <v>46035</v>
          </cell>
          <cell r="E175" t="str">
            <v>Виктория 2502</v>
          </cell>
          <cell r="I175">
            <v>200</v>
          </cell>
        </row>
        <row r="176">
          <cell r="A176">
            <v>46035</v>
          </cell>
          <cell r="E176" t="str">
            <v>Оганов А.С.1505</v>
          </cell>
          <cell r="I176">
            <v>2400</v>
          </cell>
        </row>
        <row r="177">
          <cell r="A177">
            <v>46035</v>
          </cell>
          <cell r="E177" t="str">
            <v>Оганов А.С.1505</v>
          </cell>
          <cell r="I177">
            <v>1350</v>
          </cell>
        </row>
        <row r="178">
          <cell r="A178">
            <v>46035</v>
          </cell>
          <cell r="E178" t="str">
            <v>Оганов А. С. 2106</v>
          </cell>
          <cell r="I178">
            <v>440</v>
          </cell>
        </row>
        <row r="179">
          <cell r="A179">
            <v>46035</v>
          </cell>
          <cell r="E179" t="str">
            <v>Вероника 1996</v>
          </cell>
          <cell r="I179">
            <v>1880</v>
          </cell>
        </row>
        <row r="180">
          <cell r="A180">
            <v>46035</v>
          </cell>
          <cell r="E180" t="str">
            <v>Оганов А.С.1505</v>
          </cell>
          <cell r="I180">
            <v>280</v>
          </cell>
        </row>
        <row r="181">
          <cell r="A181">
            <v>46035</v>
          </cell>
          <cell r="E181" t="str">
            <v>Оганов А.С.1505</v>
          </cell>
          <cell r="I181">
            <v>2000</v>
          </cell>
        </row>
        <row r="182">
          <cell r="A182">
            <v>46035</v>
          </cell>
          <cell r="E182" t="str">
            <v>Виктория 2502</v>
          </cell>
          <cell r="I182">
            <v>200</v>
          </cell>
        </row>
        <row r="183">
          <cell r="A183">
            <v>46036</v>
          </cell>
          <cell r="E183" t="str">
            <v>Екатерина 2201</v>
          </cell>
          <cell r="I183">
            <v>590</v>
          </cell>
        </row>
        <row r="184">
          <cell r="A184">
            <v>46036</v>
          </cell>
          <cell r="E184" t="str">
            <v>Вероника 1996</v>
          </cell>
          <cell r="I184">
            <v>860</v>
          </cell>
        </row>
        <row r="185">
          <cell r="A185">
            <v>46036</v>
          </cell>
          <cell r="E185" t="str">
            <v>Оганов А.С.5984</v>
          </cell>
          <cell r="I185">
            <v>1550</v>
          </cell>
        </row>
        <row r="186">
          <cell r="A186">
            <v>46036</v>
          </cell>
          <cell r="E186" t="str">
            <v>Вероника 1996</v>
          </cell>
          <cell r="I186">
            <v>2280</v>
          </cell>
        </row>
        <row r="187">
          <cell r="A187">
            <v>46036</v>
          </cell>
          <cell r="E187" t="str">
            <v>Вероника 1996</v>
          </cell>
          <cell r="I187">
            <v>190</v>
          </cell>
        </row>
        <row r="188">
          <cell r="A188">
            <v>46036</v>
          </cell>
          <cell r="E188" t="str">
            <v>Вероника 1996</v>
          </cell>
          <cell r="I188">
            <v>190</v>
          </cell>
        </row>
        <row r="189">
          <cell r="A189">
            <v>46036</v>
          </cell>
          <cell r="E189" t="str">
            <v>Оганов А.С.2404</v>
          </cell>
          <cell r="I189">
            <v>1310</v>
          </cell>
        </row>
        <row r="190">
          <cell r="A190">
            <v>46036</v>
          </cell>
          <cell r="E190" t="str">
            <v>Оганов А.С.2404</v>
          </cell>
          <cell r="I190">
            <v>190</v>
          </cell>
        </row>
        <row r="191">
          <cell r="A191">
            <v>46036</v>
          </cell>
          <cell r="E191" t="str">
            <v>Оганов А.С.2404</v>
          </cell>
          <cell r="I191">
            <v>190</v>
          </cell>
        </row>
        <row r="192">
          <cell r="A192">
            <v>46036</v>
          </cell>
          <cell r="E192" t="str">
            <v>Оганов А.С.2404</v>
          </cell>
          <cell r="I192">
            <v>100</v>
          </cell>
        </row>
        <row r="193">
          <cell r="A193">
            <v>46036</v>
          </cell>
          <cell r="E193" t="str">
            <v>Оганов А.С.0102</v>
          </cell>
          <cell r="I193">
            <v>400</v>
          </cell>
        </row>
        <row r="194">
          <cell r="A194">
            <v>46036</v>
          </cell>
          <cell r="E194" t="str">
            <v>Вероника 1996</v>
          </cell>
          <cell r="I194">
            <v>150</v>
          </cell>
        </row>
        <row r="195">
          <cell r="A195">
            <v>46036</v>
          </cell>
          <cell r="E195" t="str">
            <v>Вероника 1996</v>
          </cell>
          <cell r="I195">
            <v>180</v>
          </cell>
        </row>
        <row r="196">
          <cell r="A196">
            <v>46036</v>
          </cell>
          <cell r="E196" t="str">
            <v>Любовь 1302</v>
          </cell>
          <cell r="I196">
            <v>1060</v>
          </cell>
        </row>
        <row r="197">
          <cell r="A197">
            <v>46036</v>
          </cell>
          <cell r="E197" t="str">
            <v>Вероника 1996</v>
          </cell>
          <cell r="I197">
            <v>1250</v>
          </cell>
        </row>
        <row r="198">
          <cell r="A198">
            <v>46036</v>
          </cell>
          <cell r="E198" t="str">
            <v>Екатерина 2201</v>
          </cell>
          <cell r="I198">
            <v>1050</v>
          </cell>
        </row>
        <row r="199">
          <cell r="A199">
            <v>46036</v>
          </cell>
          <cell r="E199" t="str">
            <v>Екатерина 2201</v>
          </cell>
          <cell r="I199">
            <v>1140</v>
          </cell>
        </row>
        <row r="200">
          <cell r="A200">
            <v>46036</v>
          </cell>
          <cell r="E200" t="str">
            <v>Екатерина 2201</v>
          </cell>
          <cell r="I200">
            <v>580</v>
          </cell>
        </row>
        <row r="201">
          <cell r="A201">
            <v>46036</v>
          </cell>
          <cell r="E201" t="str">
            <v>Екатерина 2201</v>
          </cell>
          <cell r="I201">
            <v>2020</v>
          </cell>
        </row>
        <row r="202">
          <cell r="A202">
            <v>46036</v>
          </cell>
          <cell r="E202" t="str">
            <v>Вероника 1996</v>
          </cell>
          <cell r="I202">
            <v>1550</v>
          </cell>
        </row>
        <row r="203">
          <cell r="A203">
            <v>46036</v>
          </cell>
          <cell r="E203" t="str">
            <v>Екатерина 2201</v>
          </cell>
          <cell r="I203">
            <v>170</v>
          </cell>
        </row>
        <row r="204">
          <cell r="A204">
            <v>46036</v>
          </cell>
          <cell r="E204" t="str">
            <v>Вероника 1996</v>
          </cell>
          <cell r="I204">
            <v>1100</v>
          </cell>
        </row>
        <row r="205">
          <cell r="A205">
            <v>46036</v>
          </cell>
          <cell r="E205" t="str">
            <v>Оганов А.С.5984</v>
          </cell>
          <cell r="I205">
            <v>440</v>
          </cell>
        </row>
        <row r="206">
          <cell r="A206">
            <v>46036</v>
          </cell>
          <cell r="E206" t="str">
            <v>Оганов А.С.2404</v>
          </cell>
          <cell r="I206">
            <v>1450</v>
          </cell>
        </row>
        <row r="207">
          <cell r="A207">
            <v>46036</v>
          </cell>
          <cell r="E207" t="str">
            <v>Вероника 1996</v>
          </cell>
          <cell r="I207">
            <v>2280</v>
          </cell>
        </row>
        <row r="208">
          <cell r="A208">
            <v>46036</v>
          </cell>
          <cell r="E208" t="str">
            <v>Оганов А.С.5984</v>
          </cell>
          <cell r="I208">
            <v>1080</v>
          </cell>
        </row>
        <row r="209">
          <cell r="A209">
            <v>46036</v>
          </cell>
          <cell r="E209" t="str">
            <v>Оганов А.С.5984</v>
          </cell>
          <cell r="I209">
            <v>1520</v>
          </cell>
        </row>
        <row r="210">
          <cell r="A210">
            <v>46036</v>
          </cell>
          <cell r="E210" t="str">
            <v>Вероника 1996</v>
          </cell>
          <cell r="I210">
            <v>1180</v>
          </cell>
        </row>
        <row r="211">
          <cell r="A211">
            <v>46036</v>
          </cell>
          <cell r="E211" t="str">
            <v>Вероника 1996</v>
          </cell>
          <cell r="I211">
            <v>200</v>
          </cell>
        </row>
        <row r="212">
          <cell r="A212">
            <v>46036</v>
          </cell>
          <cell r="E212" t="str">
            <v>Вероника 1996</v>
          </cell>
          <cell r="I212">
            <v>1350</v>
          </cell>
        </row>
        <row r="213">
          <cell r="A213">
            <v>46036</v>
          </cell>
          <cell r="E213" t="str">
            <v>Вероника 1996</v>
          </cell>
          <cell r="I213">
            <v>0</v>
          </cell>
        </row>
        <row r="214">
          <cell r="A214">
            <v>46037</v>
          </cell>
          <cell r="E214" t="str">
            <v>Любовь 1302</v>
          </cell>
          <cell r="I214">
            <v>570</v>
          </cell>
        </row>
        <row r="215">
          <cell r="A215">
            <v>46037</v>
          </cell>
          <cell r="E215" t="str">
            <v>Оганов А.С.5984</v>
          </cell>
          <cell r="I215">
            <v>190</v>
          </cell>
        </row>
        <row r="216">
          <cell r="A216">
            <v>46037</v>
          </cell>
          <cell r="E216" t="str">
            <v>Оганов А.С.5984</v>
          </cell>
          <cell r="I216">
            <v>380</v>
          </cell>
        </row>
        <row r="217">
          <cell r="A217">
            <v>46037</v>
          </cell>
          <cell r="E217" t="str">
            <v>Оганов А.С.3007</v>
          </cell>
          <cell r="I217">
            <v>340</v>
          </cell>
        </row>
        <row r="218">
          <cell r="A218">
            <v>46037</v>
          </cell>
          <cell r="E218" t="str">
            <v>Оганов А.С.5984</v>
          </cell>
          <cell r="I218">
            <v>175</v>
          </cell>
        </row>
        <row r="219">
          <cell r="A219">
            <v>46037</v>
          </cell>
          <cell r="E219" t="str">
            <v>Любовь 1302</v>
          </cell>
          <cell r="I219">
            <v>2280</v>
          </cell>
        </row>
        <row r="220">
          <cell r="A220">
            <v>46037</v>
          </cell>
          <cell r="E220" t="str">
            <v>Оганов А.С.5984</v>
          </cell>
          <cell r="I220">
            <v>1300</v>
          </cell>
        </row>
        <row r="221">
          <cell r="A221">
            <v>46037</v>
          </cell>
          <cell r="E221" t="str">
            <v>Оганов А.С.5984</v>
          </cell>
          <cell r="I221">
            <v>190</v>
          </cell>
        </row>
        <row r="222">
          <cell r="A222">
            <v>46037</v>
          </cell>
          <cell r="E222" t="str">
            <v>Оганов А.С.5984</v>
          </cell>
          <cell r="I222">
            <v>2000</v>
          </cell>
        </row>
        <row r="223">
          <cell r="A223">
            <v>46037</v>
          </cell>
          <cell r="E223" t="str">
            <v>Оганов А.С.7272</v>
          </cell>
          <cell r="I223">
            <v>240</v>
          </cell>
        </row>
        <row r="224">
          <cell r="A224">
            <v>46037</v>
          </cell>
          <cell r="E224" t="str">
            <v>Оганов А.С.5984</v>
          </cell>
          <cell r="I224">
            <v>190</v>
          </cell>
        </row>
        <row r="225">
          <cell r="A225">
            <v>46037</v>
          </cell>
          <cell r="E225" t="str">
            <v>Любовь 1302</v>
          </cell>
          <cell r="I225">
            <v>570</v>
          </cell>
        </row>
        <row r="226">
          <cell r="A226">
            <v>46037</v>
          </cell>
          <cell r="E226" t="str">
            <v>Любовь 1302</v>
          </cell>
          <cell r="I226">
            <v>130</v>
          </cell>
        </row>
        <row r="227">
          <cell r="A227">
            <v>46037</v>
          </cell>
          <cell r="E227" t="str">
            <v>Оганов А.С.5984</v>
          </cell>
          <cell r="I227">
            <v>2020</v>
          </cell>
        </row>
        <row r="228">
          <cell r="A228">
            <v>46037</v>
          </cell>
          <cell r="E228" t="str">
            <v>Оганов А.С.5984</v>
          </cell>
          <cell r="I228">
            <v>580</v>
          </cell>
        </row>
        <row r="229">
          <cell r="A229">
            <v>46037</v>
          </cell>
          <cell r="E229" t="str">
            <v>Любовь 1302</v>
          </cell>
          <cell r="I229">
            <v>200</v>
          </cell>
        </row>
        <row r="230">
          <cell r="A230">
            <v>46037</v>
          </cell>
          <cell r="E230" t="str">
            <v>Любовь 1302</v>
          </cell>
          <cell r="I230">
            <v>570</v>
          </cell>
        </row>
        <row r="231">
          <cell r="A231">
            <v>46038</v>
          </cell>
          <cell r="E231" t="str">
            <v>Оганов А.С.2602</v>
          </cell>
          <cell r="I231">
            <v>900</v>
          </cell>
        </row>
        <row r="232">
          <cell r="A232">
            <v>46038</v>
          </cell>
          <cell r="E232" t="str">
            <v>Оганов А.С.3007</v>
          </cell>
          <cell r="I232">
            <v>2000</v>
          </cell>
        </row>
        <row r="233">
          <cell r="A233">
            <v>46038</v>
          </cell>
          <cell r="E233" t="str">
            <v>Оганов А.С.2602</v>
          </cell>
          <cell r="I233">
            <v>150</v>
          </cell>
        </row>
        <row r="234">
          <cell r="A234">
            <v>46038</v>
          </cell>
          <cell r="E234" t="str">
            <v>Оганов А.С.3007</v>
          </cell>
          <cell r="I234">
            <v>340</v>
          </cell>
        </row>
        <row r="235">
          <cell r="A235">
            <v>46038</v>
          </cell>
          <cell r="E235" t="str">
            <v>Виктория 2502</v>
          </cell>
          <cell r="I235">
            <v>400</v>
          </cell>
        </row>
        <row r="236">
          <cell r="A236">
            <v>46038</v>
          </cell>
          <cell r="E236" t="str">
            <v>Виктория 2502</v>
          </cell>
          <cell r="I236">
            <v>420</v>
          </cell>
        </row>
        <row r="237">
          <cell r="A237">
            <v>46038</v>
          </cell>
          <cell r="E237" t="str">
            <v>Оганов А.С.2602</v>
          </cell>
          <cell r="I237">
            <v>370</v>
          </cell>
        </row>
        <row r="238">
          <cell r="A238">
            <v>46038</v>
          </cell>
          <cell r="E238" t="str">
            <v>Оганов А.С.3007</v>
          </cell>
          <cell r="I238">
            <v>580</v>
          </cell>
        </row>
        <row r="239">
          <cell r="A239">
            <v>46038</v>
          </cell>
          <cell r="E239" t="str">
            <v>Виктория 2502</v>
          </cell>
          <cell r="I239">
            <v>920</v>
          </cell>
        </row>
        <row r="240">
          <cell r="A240">
            <v>46038</v>
          </cell>
          <cell r="E240" t="str">
            <v>Виктория 2502</v>
          </cell>
          <cell r="I240">
            <v>200</v>
          </cell>
        </row>
        <row r="241">
          <cell r="A241">
            <v>46038</v>
          </cell>
          <cell r="E241" t="str">
            <v>Виктория 2502</v>
          </cell>
          <cell r="I241">
            <v>900</v>
          </cell>
        </row>
        <row r="242">
          <cell r="A242">
            <v>46038</v>
          </cell>
          <cell r="E242" t="str">
            <v>Оганов А.С.2602</v>
          </cell>
          <cell r="I242">
            <v>2220</v>
          </cell>
        </row>
        <row r="243">
          <cell r="A243">
            <v>46038</v>
          </cell>
          <cell r="E243" t="str">
            <v>Виктория 2502</v>
          </cell>
          <cell r="I243">
            <v>300</v>
          </cell>
        </row>
        <row r="244">
          <cell r="A244">
            <v>46038</v>
          </cell>
          <cell r="E244" t="str">
            <v>Оганов А.С.3007</v>
          </cell>
          <cell r="I244">
            <v>550</v>
          </cell>
        </row>
        <row r="245">
          <cell r="A245">
            <v>46038</v>
          </cell>
          <cell r="E245" t="str">
            <v>Оганов А.С.2404</v>
          </cell>
          <cell r="I245">
            <v>900</v>
          </cell>
        </row>
        <row r="246">
          <cell r="A246">
            <v>46038</v>
          </cell>
          <cell r="E246" t="str">
            <v>Оганов А.С.3007</v>
          </cell>
          <cell r="I246">
            <v>1600</v>
          </cell>
        </row>
        <row r="247">
          <cell r="A247">
            <v>46038</v>
          </cell>
          <cell r="E247" t="str">
            <v>Оганов А.С.3007</v>
          </cell>
          <cell r="I247">
            <v>130</v>
          </cell>
        </row>
        <row r="248">
          <cell r="A248">
            <v>46038</v>
          </cell>
          <cell r="E248" t="str">
            <v>Оганов А.С.2602</v>
          </cell>
          <cell r="I248">
            <v>190</v>
          </cell>
        </row>
        <row r="249">
          <cell r="A249">
            <v>46038</v>
          </cell>
          <cell r="E249" t="str">
            <v>Оганов А.С.7272</v>
          </cell>
          <cell r="I249">
            <v>1300</v>
          </cell>
        </row>
        <row r="250">
          <cell r="A250">
            <v>46038</v>
          </cell>
          <cell r="E250" t="str">
            <v>Оганов А.С.7272</v>
          </cell>
          <cell r="I250">
            <v>180</v>
          </cell>
        </row>
        <row r="251">
          <cell r="A251">
            <v>46038</v>
          </cell>
          <cell r="E251" t="str">
            <v>Оганов А.С.3007</v>
          </cell>
          <cell r="I251">
            <v>750</v>
          </cell>
        </row>
        <row r="252">
          <cell r="A252">
            <v>46038</v>
          </cell>
          <cell r="E252" t="str">
            <v>Оганов А.С.3007</v>
          </cell>
          <cell r="I252">
            <v>190</v>
          </cell>
        </row>
        <row r="253">
          <cell r="A253">
            <v>46038</v>
          </cell>
          <cell r="E253" t="str">
            <v>Оганов А.С.3007</v>
          </cell>
          <cell r="I253">
            <v>190</v>
          </cell>
        </row>
        <row r="254">
          <cell r="A254">
            <v>46038</v>
          </cell>
          <cell r="E254" t="str">
            <v>Оганов А.С.7272</v>
          </cell>
          <cell r="I254">
            <v>1170</v>
          </cell>
        </row>
        <row r="255">
          <cell r="A255">
            <v>46038</v>
          </cell>
          <cell r="E255" t="str">
            <v>Оганов А.С.7272</v>
          </cell>
          <cell r="I255">
            <v>1170</v>
          </cell>
        </row>
        <row r="256">
          <cell r="A256">
            <v>46038</v>
          </cell>
          <cell r="E256" t="str">
            <v>Оганов А.С.2602</v>
          </cell>
          <cell r="I256">
            <v>750</v>
          </cell>
        </row>
        <row r="257">
          <cell r="A257">
            <v>46039</v>
          </cell>
          <cell r="E257" t="str">
            <v>Вероника 1996</v>
          </cell>
          <cell r="I257">
            <v>1180</v>
          </cell>
        </row>
        <row r="258">
          <cell r="A258">
            <v>46039</v>
          </cell>
          <cell r="E258" t="str">
            <v>Вероника 1996</v>
          </cell>
          <cell r="I258">
            <v>790</v>
          </cell>
        </row>
        <row r="259">
          <cell r="A259">
            <v>46039</v>
          </cell>
          <cell r="E259" t="str">
            <v>Оганов А.С.3007</v>
          </cell>
          <cell r="I259">
            <v>750</v>
          </cell>
        </row>
        <row r="260">
          <cell r="A260">
            <v>46039</v>
          </cell>
          <cell r="E260" t="str">
            <v>Виктория 2502</v>
          </cell>
          <cell r="I260">
            <v>180</v>
          </cell>
        </row>
        <row r="261">
          <cell r="A261">
            <v>46039</v>
          </cell>
          <cell r="E261" t="str">
            <v>Вероника 1996</v>
          </cell>
          <cell r="I261">
            <v>920</v>
          </cell>
        </row>
        <row r="262">
          <cell r="A262">
            <v>46039</v>
          </cell>
          <cell r="E262" t="str">
            <v>Оганов А.С.3007</v>
          </cell>
          <cell r="I262">
            <v>1310</v>
          </cell>
        </row>
        <row r="263">
          <cell r="A263">
            <v>46039</v>
          </cell>
          <cell r="E263" t="str">
            <v>Оганов А.С.1505</v>
          </cell>
          <cell r="I263">
            <v>2400</v>
          </cell>
        </row>
        <row r="264">
          <cell r="A264">
            <v>46039</v>
          </cell>
          <cell r="E264" t="str">
            <v>Оганов А.С.1505</v>
          </cell>
          <cell r="I264">
            <v>2080</v>
          </cell>
        </row>
        <row r="265">
          <cell r="A265">
            <v>46039</v>
          </cell>
          <cell r="E265" t="str">
            <v>Оганов А.С.1505</v>
          </cell>
          <cell r="I265">
            <v>280</v>
          </cell>
        </row>
        <row r="266">
          <cell r="A266">
            <v>46039</v>
          </cell>
          <cell r="E266" t="str">
            <v>Вероника 1996</v>
          </cell>
          <cell r="I266">
            <v>1550</v>
          </cell>
        </row>
        <row r="267">
          <cell r="A267">
            <v>46039</v>
          </cell>
          <cell r="E267" t="str">
            <v>Оганов А.С.3007</v>
          </cell>
          <cell r="I267">
            <v>2080</v>
          </cell>
        </row>
        <row r="268">
          <cell r="A268">
            <v>46039</v>
          </cell>
          <cell r="E268" t="str">
            <v>Оганов А.С.3007</v>
          </cell>
          <cell r="I268">
            <v>2080</v>
          </cell>
        </row>
        <row r="269">
          <cell r="A269">
            <v>46039</v>
          </cell>
          <cell r="E269" t="str">
            <v>Вероника 1996</v>
          </cell>
          <cell r="I269">
            <v>1340</v>
          </cell>
        </row>
        <row r="270">
          <cell r="A270">
            <v>46039</v>
          </cell>
          <cell r="E270" t="str">
            <v>Оганов А. С. 2106</v>
          </cell>
          <cell r="I270">
            <v>180</v>
          </cell>
        </row>
        <row r="271">
          <cell r="A271">
            <v>46040</v>
          </cell>
          <cell r="E271" t="str">
            <v>Вероника 1996</v>
          </cell>
          <cell r="I271">
            <v>580</v>
          </cell>
        </row>
        <row r="272">
          <cell r="A272">
            <v>46040</v>
          </cell>
          <cell r="E272" t="str">
            <v>Вероника 1996</v>
          </cell>
          <cell r="I272">
            <v>920</v>
          </cell>
        </row>
        <row r="273">
          <cell r="A273">
            <v>46040</v>
          </cell>
          <cell r="E273" t="str">
            <v>Екатерина 2201</v>
          </cell>
          <cell r="I273">
            <v>1170</v>
          </cell>
        </row>
        <row r="274">
          <cell r="A274">
            <v>46040</v>
          </cell>
          <cell r="E274" t="str">
            <v>Оганов А.С.5984</v>
          </cell>
          <cell r="I274">
            <v>300</v>
          </cell>
        </row>
        <row r="275">
          <cell r="A275">
            <v>46040</v>
          </cell>
          <cell r="E275" t="str">
            <v>Оганов А.С.5984</v>
          </cell>
          <cell r="I275">
            <v>1250</v>
          </cell>
        </row>
        <row r="276">
          <cell r="A276">
            <v>46040</v>
          </cell>
          <cell r="E276" t="str">
            <v>Вероника 1996</v>
          </cell>
          <cell r="I276">
            <v>1250</v>
          </cell>
        </row>
        <row r="277">
          <cell r="A277">
            <v>46040</v>
          </cell>
          <cell r="E277" t="str">
            <v>Екатерина 2201</v>
          </cell>
          <cell r="I277">
            <v>520</v>
          </cell>
        </row>
        <row r="278">
          <cell r="A278">
            <v>46040</v>
          </cell>
          <cell r="E278" t="str">
            <v>Екатерина 2201</v>
          </cell>
          <cell r="I278">
            <v>920</v>
          </cell>
        </row>
        <row r="279">
          <cell r="A279">
            <v>46040</v>
          </cell>
          <cell r="E279" t="str">
            <v>Оганов А.С.5984</v>
          </cell>
          <cell r="I279">
            <v>2020</v>
          </cell>
        </row>
        <row r="280">
          <cell r="A280">
            <v>46040</v>
          </cell>
          <cell r="E280" t="str">
            <v>Любовь 1302</v>
          </cell>
          <cell r="I280">
            <v>200</v>
          </cell>
        </row>
        <row r="281">
          <cell r="A281">
            <v>46040</v>
          </cell>
          <cell r="E281" t="str">
            <v>Любовь 1302</v>
          </cell>
          <cell r="I281">
            <v>180</v>
          </cell>
        </row>
        <row r="282">
          <cell r="A282">
            <v>46040</v>
          </cell>
          <cell r="E282" t="str">
            <v>Оганов А.С.1505</v>
          </cell>
          <cell r="I282">
            <v>1450</v>
          </cell>
        </row>
        <row r="283">
          <cell r="A283">
            <v>46040</v>
          </cell>
          <cell r="E283" t="str">
            <v>Екатерина 2201</v>
          </cell>
          <cell r="I283">
            <v>520</v>
          </cell>
        </row>
        <row r="284">
          <cell r="A284">
            <v>46040</v>
          </cell>
          <cell r="E284" t="str">
            <v>Оганов А.С.1505</v>
          </cell>
          <cell r="I284">
            <v>420</v>
          </cell>
        </row>
        <row r="285">
          <cell r="A285">
            <v>46040</v>
          </cell>
          <cell r="E285" t="str">
            <v>Екатерина 2201</v>
          </cell>
          <cell r="I285">
            <v>175</v>
          </cell>
        </row>
        <row r="286">
          <cell r="A286">
            <v>46040</v>
          </cell>
          <cell r="E286" t="str">
            <v>Оганов А.С.5984</v>
          </cell>
          <cell r="I286">
            <v>1600</v>
          </cell>
        </row>
        <row r="287">
          <cell r="A287">
            <v>46040</v>
          </cell>
          <cell r="E287" t="str">
            <v>Оганов А.С.5984</v>
          </cell>
          <cell r="I287">
            <v>1300</v>
          </cell>
        </row>
        <row r="288">
          <cell r="A288">
            <v>46040</v>
          </cell>
          <cell r="E288" t="str">
            <v>Оганов А.С.5984</v>
          </cell>
          <cell r="I288">
            <v>2280</v>
          </cell>
        </row>
        <row r="289">
          <cell r="A289">
            <v>46040</v>
          </cell>
          <cell r="E289" t="str">
            <v>Оганов А.С.1505</v>
          </cell>
          <cell r="I289">
            <v>1450</v>
          </cell>
        </row>
        <row r="290">
          <cell r="A290">
            <v>46040</v>
          </cell>
          <cell r="E290" t="str">
            <v>Оганов А.С.5984</v>
          </cell>
          <cell r="I290">
            <v>1180</v>
          </cell>
        </row>
        <row r="291">
          <cell r="A291">
            <v>46040</v>
          </cell>
          <cell r="E291" t="str">
            <v>Оганов А.С.1505</v>
          </cell>
          <cell r="I291">
            <v>2020</v>
          </cell>
        </row>
        <row r="292">
          <cell r="A292">
            <v>46040</v>
          </cell>
          <cell r="E292" t="str">
            <v>Екатерина 2201</v>
          </cell>
          <cell r="I292">
            <v>330</v>
          </cell>
        </row>
        <row r="293">
          <cell r="A293">
            <v>46040</v>
          </cell>
          <cell r="E293" t="str">
            <v>Екатерина 2201</v>
          </cell>
          <cell r="I293">
            <v>660</v>
          </cell>
        </row>
        <row r="294">
          <cell r="A294">
            <v>46040</v>
          </cell>
          <cell r="E294" t="str">
            <v>Екатерина 2201</v>
          </cell>
          <cell r="I294">
            <v>790</v>
          </cell>
        </row>
        <row r="295">
          <cell r="A295">
            <v>46041</v>
          </cell>
          <cell r="E295" t="str">
            <v>Оганов А.С.3007</v>
          </cell>
          <cell r="I295">
            <v>1450</v>
          </cell>
        </row>
        <row r="296">
          <cell r="A296">
            <v>46041</v>
          </cell>
          <cell r="E296" t="str">
            <v>Оганов А.С.7272</v>
          </cell>
          <cell r="I296">
            <v>130</v>
          </cell>
        </row>
        <row r="297">
          <cell r="A297">
            <v>46041</v>
          </cell>
          <cell r="E297" t="str">
            <v>Оганов А.С.1505</v>
          </cell>
          <cell r="I297">
            <v>520</v>
          </cell>
        </row>
        <row r="298">
          <cell r="A298">
            <v>46041</v>
          </cell>
          <cell r="E298" t="str">
            <v>Оганов А.С.5984</v>
          </cell>
          <cell r="I298">
            <v>1860</v>
          </cell>
        </row>
        <row r="299">
          <cell r="A299">
            <v>46041</v>
          </cell>
          <cell r="E299" t="str">
            <v>Оганов А.С.3007</v>
          </cell>
          <cell r="I299">
            <v>1860</v>
          </cell>
        </row>
        <row r="300">
          <cell r="A300">
            <v>46041</v>
          </cell>
          <cell r="E300" t="str">
            <v>Екатерина 2201</v>
          </cell>
          <cell r="I300">
            <v>2470</v>
          </cell>
        </row>
        <row r="301">
          <cell r="A301">
            <v>46041</v>
          </cell>
          <cell r="E301" t="str">
            <v>Екатерина 2201</v>
          </cell>
          <cell r="I301">
            <v>1050</v>
          </cell>
        </row>
        <row r="302">
          <cell r="A302">
            <v>46041</v>
          </cell>
          <cell r="E302" t="str">
            <v>Любовь 1302</v>
          </cell>
          <cell r="I302">
            <v>190</v>
          </cell>
        </row>
        <row r="303">
          <cell r="A303">
            <v>46041</v>
          </cell>
          <cell r="E303" t="str">
            <v>Екатерина 2201</v>
          </cell>
          <cell r="I303">
            <v>1180</v>
          </cell>
        </row>
        <row r="304">
          <cell r="A304">
            <v>46041</v>
          </cell>
          <cell r="E304" t="str">
            <v>Екатерина 2201</v>
          </cell>
          <cell r="I304">
            <v>180</v>
          </cell>
        </row>
        <row r="305">
          <cell r="A305">
            <v>46041</v>
          </cell>
          <cell r="E305" t="str">
            <v>Оганов А.С.5984</v>
          </cell>
          <cell r="I305">
            <v>1550</v>
          </cell>
        </row>
        <row r="306">
          <cell r="A306">
            <v>46041</v>
          </cell>
          <cell r="E306" t="str">
            <v>Екатерина 2201</v>
          </cell>
          <cell r="I306">
            <v>520</v>
          </cell>
        </row>
        <row r="307">
          <cell r="A307">
            <v>46041</v>
          </cell>
          <cell r="E307" t="str">
            <v>Екатерина 2201</v>
          </cell>
          <cell r="I307">
            <v>520</v>
          </cell>
        </row>
        <row r="308">
          <cell r="A308">
            <v>46041</v>
          </cell>
          <cell r="E308" t="str">
            <v>Оганов А.С.3007</v>
          </cell>
          <cell r="I308">
            <v>1140</v>
          </cell>
        </row>
        <row r="309">
          <cell r="A309">
            <v>46041</v>
          </cell>
          <cell r="E309" t="str">
            <v>Оганов А.С.3007</v>
          </cell>
          <cell r="I309">
            <v>1550</v>
          </cell>
        </row>
        <row r="310">
          <cell r="A310">
            <v>46041</v>
          </cell>
          <cell r="E310" t="str">
            <v>Оганов А.С.7272</v>
          </cell>
          <cell r="I310">
            <v>1060</v>
          </cell>
        </row>
        <row r="311">
          <cell r="A311">
            <v>46041</v>
          </cell>
          <cell r="E311" t="str">
            <v>Оганов А.С.7272</v>
          </cell>
          <cell r="I311">
            <v>1300</v>
          </cell>
        </row>
        <row r="312">
          <cell r="A312">
            <v>46041</v>
          </cell>
          <cell r="E312" t="str">
            <v>Оганов А.С.7272</v>
          </cell>
          <cell r="I312">
            <v>440</v>
          </cell>
        </row>
        <row r="313">
          <cell r="A313">
            <v>46041</v>
          </cell>
          <cell r="E313" t="str">
            <v>Оганов А.С.3007</v>
          </cell>
          <cell r="I313">
            <v>1520</v>
          </cell>
        </row>
        <row r="314">
          <cell r="A314">
            <v>46042</v>
          </cell>
          <cell r="E314" t="str">
            <v>Оганов А.С.0102</v>
          </cell>
          <cell r="I314">
            <v>660</v>
          </cell>
        </row>
        <row r="315">
          <cell r="A315">
            <v>46042</v>
          </cell>
          <cell r="E315" t="str">
            <v>Оганов А.С.7272</v>
          </cell>
          <cell r="I315">
            <v>0</v>
          </cell>
        </row>
        <row r="316">
          <cell r="A316">
            <v>46042</v>
          </cell>
          <cell r="E316" t="str">
            <v>Оганов А.С.7272</v>
          </cell>
          <cell r="I316">
            <v>0</v>
          </cell>
        </row>
        <row r="317">
          <cell r="A317">
            <v>46045</v>
          </cell>
          <cell r="E317" t="str">
            <v>Екатерина 2201</v>
          </cell>
          <cell r="I317">
            <v>330</v>
          </cell>
        </row>
        <row r="318">
          <cell r="A318">
            <v>46042</v>
          </cell>
          <cell r="E318" t="str">
            <v>Оганов А.С.3007</v>
          </cell>
          <cell r="I318">
            <v>200</v>
          </cell>
        </row>
        <row r="319">
          <cell r="A319">
            <v>46042</v>
          </cell>
          <cell r="E319" t="str">
            <v>Оганов А.С.7272</v>
          </cell>
          <cell r="I319">
            <v>200</v>
          </cell>
        </row>
        <row r="320">
          <cell r="A320">
            <v>46042</v>
          </cell>
          <cell r="E320" t="str">
            <v>Виктория 2502</v>
          </cell>
          <cell r="I320">
            <v>730</v>
          </cell>
        </row>
        <row r="321">
          <cell r="A321">
            <v>46042</v>
          </cell>
          <cell r="E321" t="str">
            <v>Оганов А.С.0102</v>
          </cell>
          <cell r="I321">
            <v>1600</v>
          </cell>
        </row>
        <row r="322">
          <cell r="A322">
            <v>46042</v>
          </cell>
          <cell r="E322" t="str">
            <v>Оганов А.С.0102</v>
          </cell>
          <cell r="I322">
            <v>420</v>
          </cell>
        </row>
        <row r="323">
          <cell r="A323">
            <v>46042</v>
          </cell>
          <cell r="E323" t="str">
            <v>Оганов А. С. 2106</v>
          </cell>
          <cell r="I323">
            <v>520</v>
          </cell>
        </row>
        <row r="324">
          <cell r="A324">
            <v>46043</v>
          </cell>
          <cell r="E324" t="str">
            <v>Виктория 2502</v>
          </cell>
          <cell r="I324">
            <v>2000</v>
          </cell>
        </row>
        <row r="325">
          <cell r="A325">
            <v>46042</v>
          </cell>
          <cell r="E325" t="str">
            <v>Виктория 2502</v>
          </cell>
          <cell r="I325">
            <v>300</v>
          </cell>
        </row>
        <row r="326">
          <cell r="A326">
            <v>46042</v>
          </cell>
          <cell r="E326" t="str">
            <v>Оганов А.С.3007</v>
          </cell>
          <cell r="I326">
            <v>270</v>
          </cell>
        </row>
        <row r="327">
          <cell r="A327">
            <v>46042</v>
          </cell>
          <cell r="E327" t="str">
            <v>Оганов А. С. 2106</v>
          </cell>
          <cell r="I327">
            <v>400</v>
          </cell>
        </row>
        <row r="328">
          <cell r="A328">
            <v>46042</v>
          </cell>
          <cell r="E328" t="str">
            <v>Оганов А.С.3007</v>
          </cell>
          <cell r="I328">
            <v>2080</v>
          </cell>
        </row>
        <row r="329">
          <cell r="A329">
            <v>46043</v>
          </cell>
          <cell r="E329" t="str">
            <v>Оганов А.С.3007</v>
          </cell>
          <cell r="I329">
            <v>420</v>
          </cell>
        </row>
        <row r="330">
          <cell r="A330">
            <v>46043</v>
          </cell>
          <cell r="E330" t="str">
            <v>Оганов А. С. 2106</v>
          </cell>
          <cell r="I330">
            <v>790</v>
          </cell>
        </row>
        <row r="331">
          <cell r="A331">
            <v>46043</v>
          </cell>
          <cell r="E331" t="str">
            <v>Оганов А. С. 2106</v>
          </cell>
          <cell r="I331">
            <v>1060</v>
          </cell>
        </row>
        <row r="332">
          <cell r="A332">
            <v>46043</v>
          </cell>
          <cell r="E332" t="str">
            <v>Вероника 1996</v>
          </cell>
          <cell r="I332">
            <v>2020</v>
          </cell>
        </row>
        <row r="333">
          <cell r="A333">
            <v>46043</v>
          </cell>
          <cell r="E333" t="str">
            <v>Оганов А. С. 2106</v>
          </cell>
          <cell r="I333">
            <v>1050</v>
          </cell>
        </row>
        <row r="334">
          <cell r="A334">
            <v>46043</v>
          </cell>
          <cell r="E334" t="str">
            <v>Вероника 1996</v>
          </cell>
          <cell r="I334">
            <v>190</v>
          </cell>
        </row>
        <row r="335">
          <cell r="A335">
            <v>46043</v>
          </cell>
          <cell r="E335" t="str">
            <v>Оганов А. С. 2106</v>
          </cell>
          <cell r="I335">
            <v>90</v>
          </cell>
        </row>
        <row r="336">
          <cell r="A336">
            <v>46043</v>
          </cell>
          <cell r="E336" t="str">
            <v>Оганов А.С.0102</v>
          </cell>
          <cell r="I336">
            <v>570</v>
          </cell>
        </row>
        <row r="337">
          <cell r="A337">
            <v>46043</v>
          </cell>
          <cell r="E337" t="str">
            <v>Оганов А.С.3007</v>
          </cell>
          <cell r="I337">
            <v>1450</v>
          </cell>
        </row>
        <row r="338">
          <cell r="A338">
            <v>46043</v>
          </cell>
          <cell r="E338" t="str">
            <v>Оганов А.С.2404</v>
          </cell>
          <cell r="I338">
            <v>2020</v>
          </cell>
        </row>
        <row r="339">
          <cell r="A339">
            <v>46043</v>
          </cell>
          <cell r="E339" t="str">
            <v>Оганов А.С.2404</v>
          </cell>
          <cell r="I339">
            <v>1600</v>
          </cell>
        </row>
        <row r="340">
          <cell r="A340">
            <v>46043</v>
          </cell>
          <cell r="E340" t="str">
            <v>Оганов А.С.3007</v>
          </cell>
          <cell r="I340">
            <v>2000</v>
          </cell>
        </row>
        <row r="341">
          <cell r="A341">
            <v>46043</v>
          </cell>
          <cell r="E341" t="str">
            <v>Виктория 2502</v>
          </cell>
          <cell r="I341">
            <v>1600</v>
          </cell>
        </row>
        <row r="342">
          <cell r="A342">
            <v>46043</v>
          </cell>
          <cell r="E342" t="str">
            <v>Виктория 2502</v>
          </cell>
          <cell r="I342">
            <v>1500</v>
          </cell>
        </row>
        <row r="343">
          <cell r="A343">
            <v>46043</v>
          </cell>
          <cell r="E343" t="str">
            <v>Виктория 2502</v>
          </cell>
          <cell r="I343">
            <v>730</v>
          </cell>
        </row>
        <row r="344">
          <cell r="A344">
            <v>46044</v>
          </cell>
          <cell r="E344" t="str">
            <v>Екатерина 2201</v>
          </cell>
          <cell r="I344">
            <v>2080</v>
          </cell>
        </row>
        <row r="345">
          <cell r="A345">
            <v>46044</v>
          </cell>
          <cell r="E345" t="str">
            <v>Вероника 1996</v>
          </cell>
          <cell r="I345">
            <v>1350</v>
          </cell>
        </row>
        <row r="346">
          <cell r="A346">
            <v>46044</v>
          </cell>
          <cell r="E346" t="str">
            <v>Екатерина 2201</v>
          </cell>
          <cell r="I346">
            <v>1300</v>
          </cell>
        </row>
        <row r="347">
          <cell r="A347">
            <v>46044</v>
          </cell>
          <cell r="E347" t="str">
            <v>Оганов А.С.3007</v>
          </cell>
          <cell r="I347">
            <v>1300</v>
          </cell>
        </row>
        <row r="348">
          <cell r="A348">
            <v>46044</v>
          </cell>
          <cell r="E348" t="str">
            <v>Екатерина 2201</v>
          </cell>
          <cell r="I348">
            <v>1300</v>
          </cell>
        </row>
        <row r="349">
          <cell r="A349">
            <v>46044</v>
          </cell>
          <cell r="E349" t="str">
            <v>Екатерина 2201</v>
          </cell>
          <cell r="I349">
            <v>160</v>
          </cell>
        </row>
        <row r="350">
          <cell r="A350">
            <v>46045</v>
          </cell>
          <cell r="E350" t="str">
            <v>Любовь 1302</v>
          </cell>
          <cell r="I350">
            <v>750</v>
          </cell>
        </row>
        <row r="351">
          <cell r="A351">
            <v>46045</v>
          </cell>
          <cell r="E351" t="str">
            <v>Оганов А.С.7272</v>
          </cell>
          <cell r="I351">
            <v>320</v>
          </cell>
        </row>
        <row r="352">
          <cell r="A352">
            <v>46045</v>
          </cell>
          <cell r="E352" t="str">
            <v>Алекс 2104</v>
          </cell>
          <cell r="I352">
            <v>1100</v>
          </cell>
        </row>
        <row r="353">
          <cell r="A353">
            <v>46045</v>
          </cell>
          <cell r="E353" t="str">
            <v>Алекс 2104</v>
          </cell>
          <cell r="I353">
            <v>1050</v>
          </cell>
        </row>
        <row r="354">
          <cell r="A354">
            <v>46045</v>
          </cell>
          <cell r="E354" t="str">
            <v>Оганов А.С.7272</v>
          </cell>
          <cell r="I354">
            <v>0</v>
          </cell>
        </row>
        <row r="355">
          <cell r="A355">
            <v>46045</v>
          </cell>
          <cell r="E355" t="str">
            <v>Любовь 1302</v>
          </cell>
          <cell r="I355">
            <v>790</v>
          </cell>
        </row>
        <row r="356">
          <cell r="A356">
            <v>46045</v>
          </cell>
          <cell r="E356" t="str">
            <v>Екатерина 2201</v>
          </cell>
          <cell r="I356">
            <v>1300</v>
          </cell>
        </row>
        <row r="357">
          <cell r="A357">
            <v>46045</v>
          </cell>
          <cell r="E357" t="str">
            <v>Алекс 2104</v>
          </cell>
          <cell r="I357">
            <v>1050</v>
          </cell>
        </row>
        <row r="358">
          <cell r="A358">
            <v>46046</v>
          </cell>
          <cell r="E358" t="str">
            <v>Оганов А.С.3007</v>
          </cell>
          <cell r="I358">
            <v>300</v>
          </cell>
        </row>
        <row r="359">
          <cell r="A359">
            <v>46046</v>
          </cell>
          <cell r="E359" t="str">
            <v>Оганов А.С.3007</v>
          </cell>
          <cell r="I359">
            <v>420</v>
          </cell>
        </row>
        <row r="360">
          <cell r="A360">
            <v>46046</v>
          </cell>
          <cell r="E360" t="str">
            <v>Виктория 2502</v>
          </cell>
          <cell r="I360">
            <v>110</v>
          </cell>
        </row>
        <row r="361">
          <cell r="A361">
            <v>46046</v>
          </cell>
          <cell r="E361" t="str">
            <v>Виктория 2502</v>
          </cell>
          <cell r="I361">
            <v>1060</v>
          </cell>
        </row>
        <row r="362">
          <cell r="A362">
            <v>46046</v>
          </cell>
          <cell r="E362" t="str">
            <v>Оганов А.С.1505</v>
          </cell>
          <cell r="I362">
            <v>2000</v>
          </cell>
        </row>
        <row r="363">
          <cell r="A363">
            <v>46046</v>
          </cell>
          <cell r="E363" t="str">
            <v>Оганов А. С. 2106</v>
          </cell>
          <cell r="I363">
            <v>1180</v>
          </cell>
        </row>
        <row r="364">
          <cell r="A364">
            <v>46046</v>
          </cell>
          <cell r="E364" t="str">
            <v>Виктория 2502</v>
          </cell>
          <cell r="I364">
            <v>300</v>
          </cell>
        </row>
        <row r="365">
          <cell r="A365">
            <v>46046</v>
          </cell>
          <cell r="E365" t="str">
            <v>Виктория 2502</v>
          </cell>
          <cell r="I365">
            <v>300</v>
          </cell>
        </row>
        <row r="366">
          <cell r="A366">
            <v>46046</v>
          </cell>
          <cell r="E366" t="str">
            <v>Вероника 1996</v>
          </cell>
          <cell r="I366">
            <v>150</v>
          </cell>
        </row>
        <row r="367">
          <cell r="A367">
            <v>46046</v>
          </cell>
          <cell r="E367" t="str">
            <v>Виктория 2502</v>
          </cell>
          <cell r="I367">
            <v>180</v>
          </cell>
        </row>
        <row r="368">
          <cell r="A368">
            <v>46046</v>
          </cell>
          <cell r="E368" t="str">
            <v>Виктория 2502</v>
          </cell>
          <cell r="I368">
            <v>180</v>
          </cell>
        </row>
        <row r="369">
          <cell r="A369">
            <v>46046</v>
          </cell>
          <cell r="E369" t="str">
            <v>Вероника 1996</v>
          </cell>
          <cell r="I369">
            <v>1180</v>
          </cell>
        </row>
        <row r="370">
          <cell r="A370">
            <v>46046</v>
          </cell>
          <cell r="E370" t="str">
            <v>Виктория 2502</v>
          </cell>
          <cell r="I370">
            <v>1600</v>
          </cell>
        </row>
        <row r="371">
          <cell r="A371">
            <v>46046</v>
          </cell>
          <cell r="E371" t="str">
            <v>Виктория 2502</v>
          </cell>
          <cell r="I371">
            <v>900</v>
          </cell>
        </row>
        <row r="372">
          <cell r="A372">
            <v>46046</v>
          </cell>
          <cell r="E372" t="str">
            <v>Вероника 1996</v>
          </cell>
          <cell r="I372">
            <v>2000</v>
          </cell>
        </row>
        <row r="373">
          <cell r="A373">
            <v>46046</v>
          </cell>
          <cell r="E373" t="str">
            <v>Вероника 1996</v>
          </cell>
          <cell r="I373">
            <v>3230</v>
          </cell>
        </row>
        <row r="374">
          <cell r="A374">
            <v>46046</v>
          </cell>
          <cell r="E374" t="str">
            <v>Оганов А.С.3007</v>
          </cell>
          <cell r="I374">
            <v>1680</v>
          </cell>
        </row>
        <row r="375">
          <cell r="A375">
            <v>46046</v>
          </cell>
          <cell r="E375" t="str">
            <v>Оганов А.С.3007</v>
          </cell>
          <cell r="I375">
            <v>2080</v>
          </cell>
        </row>
        <row r="376">
          <cell r="A376">
            <v>46046</v>
          </cell>
          <cell r="E376" t="str">
            <v>Оганов А.С.1505</v>
          </cell>
          <cell r="I376">
            <v>150</v>
          </cell>
        </row>
        <row r="377">
          <cell r="A377">
            <v>46046</v>
          </cell>
          <cell r="E377" t="str">
            <v>Вероника 1996</v>
          </cell>
          <cell r="I377">
            <v>1550</v>
          </cell>
        </row>
        <row r="378">
          <cell r="A378">
            <v>46046</v>
          </cell>
          <cell r="E378" t="str">
            <v>Вероника 1996</v>
          </cell>
          <cell r="I378">
            <v>600</v>
          </cell>
        </row>
        <row r="379">
          <cell r="A379">
            <v>46046</v>
          </cell>
          <cell r="E379" t="str">
            <v>Оганов А.С.3007</v>
          </cell>
          <cell r="I379">
            <v>330</v>
          </cell>
        </row>
        <row r="380">
          <cell r="A380">
            <v>46046</v>
          </cell>
          <cell r="E380" t="str">
            <v>Оганов А.С.3007</v>
          </cell>
          <cell r="I380">
            <v>2020</v>
          </cell>
        </row>
        <row r="381">
          <cell r="A381">
            <v>46046</v>
          </cell>
          <cell r="E381" t="str">
            <v>Оганов А. С. 2106</v>
          </cell>
          <cell r="I381">
            <v>380</v>
          </cell>
        </row>
        <row r="382">
          <cell r="A382">
            <v>46046</v>
          </cell>
          <cell r="E382" t="str">
            <v>Оганов А.С.3007</v>
          </cell>
          <cell r="I382">
            <v>2280</v>
          </cell>
        </row>
        <row r="383">
          <cell r="A383">
            <v>46046</v>
          </cell>
          <cell r="E383" t="str">
            <v>Оганов А.С.3007</v>
          </cell>
          <cell r="I383">
            <v>1600</v>
          </cell>
        </row>
        <row r="384">
          <cell r="A384">
            <v>46046</v>
          </cell>
          <cell r="E384" t="str">
            <v>Оганов А.С.3007</v>
          </cell>
          <cell r="I384">
            <v>750</v>
          </cell>
        </row>
        <row r="385">
          <cell r="A385">
            <v>46046</v>
          </cell>
          <cell r="E385" t="str">
            <v>Оганов А.С.3007</v>
          </cell>
          <cell r="I385">
            <v>190</v>
          </cell>
        </row>
        <row r="386">
          <cell r="A386">
            <v>46046</v>
          </cell>
          <cell r="E386" t="str">
            <v>Оганов А.С.3007</v>
          </cell>
          <cell r="I386">
            <v>190</v>
          </cell>
        </row>
        <row r="387">
          <cell r="A387">
            <v>46046</v>
          </cell>
          <cell r="E387" t="str">
            <v>Оганов А.С.3007</v>
          </cell>
          <cell r="I387">
            <v>190</v>
          </cell>
        </row>
        <row r="388">
          <cell r="A388">
            <v>46046</v>
          </cell>
          <cell r="E388" t="str">
            <v>Оганов А.С.3007</v>
          </cell>
          <cell r="I388">
            <v>190</v>
          </cell>
        </row>
        <row r="389">
          <cell r="A389">
            <v>46046</v>
          </cell>
          <cell r="E389" t="str">
            <v>Оганов А.С.1505</v>
          </cell>
          <cell r="I389">
            <v>280</v>
          </cell>
        </row>
        <row r="390">
          <cell r="A390">
            <v>46046</v>
          </cell>
          <cell r="E390" t="str">
            <v>Оганов А.С.1505</v>
          </cell>
          <cell r="I390">
            <v>2080</v>
          </cell>
        </row>
        <row r="391">
          <cell r="A391">
            <v>46049</v>
          </cell>
          <cell r="E391" t="str">
            <v>Любовь 1302</v>
          </cell>
          <cell r="I391">
            <v>180</v>
          </cell>
        </row>
        <row r="392">
          <cell r="A392">
            <v>46047</v>
          </cell>
          <cell r="E392" t="str">
            <v>Виктория 2502</v>
          </cell>
          <cell r="I392">
            <v>2220</v>
          </cell>
        </row>
        <row r="393">
          <cell r="A393">
            <v>46047</v>
          </cell>
          <cell r="E393" t="str">
            <v>Виктория 2502</v>
          </cell>
          <cell r="I393">
            <v>860</v>
          </cell>
        </row>
        <row r="394">
          <cell r="A394">
            <v>46047</v>
          </cell>
          <cell r="E394" t="str">
            <v>Оганов А.С.1505</v>
          </cell>
          <cell r="I394">
            <v>2220</v>
          </cell>
        </row>
        <row r="395">
          <cell r="A395">
            <v>46047</v>
          </cell>
          <cell r="E395" t="str">
            <v>Оганов А.С.1505</v>
          </cell>
          <cell r="I395">
            <v>1050</v>
          </cell>
        </row>
        <row r="396">
          <cell r="A396">
            <v>46047</v>
          </cell>
          <cell r="E396" t="str">
            <v>Виктория 2502</v>
          </cell>
          <cell r="I396">
            <v>900</v>
          </cell>
        </row>
        <row r="397">
          <cell r="A397">
            <v>46047</v>
          </cell>
          <cell r="E397" t="str">
            <v>Виктория 2502</v>
          </cell>
          <cell r="I397">
            <v>1560</v>
          </cell>
        </row>
        <row r="398">
          <cell r="A398">
            <v>46047</v>
          </cell>
          <cell r="E398" t="str">
            <v>Виктория 2502</v>
          </cell>
          <cell r="I398">
            <v>660</v>
          </cell>
        </row>
        <row r="399">
          <cell r="A399">
            <v>46047</v>
          </cell>
          <cell r="E399" t="str">
            <v>Оганов А.С.3007</v>
          </cell>
          <cell r="I399">
            <v>1600</v>
          </cell>
        </row>
        <row r="400">
          <cell r="A400">
            <v>46047</v>
          </cell>
          <cell r="E400" t="str">
            <v>Виктория 2502</v>
          </cell>
          <cell r="I400">
            <v>730</v>
          </cell>
        </row>
        <row r="401">
          <cell r="A401">
            <v>46047</v>
          </cell>
          <cell r="E401" t="str">
            <v>Виктория 2502</v>
          </cell>
          <cell r="I401">
            <v>180</v>
          </cell>
        </row>
        <row r="402">
          <cell r="A402">
            <v>46047</v>
          </cell>
          <cell r="E402" t="str">
            <v>Вероника 1996</v>
          </cell>
          <cell r="I402">
            <v>2000</v>
          </cell>
        </row>
        <row r="403">
          <cell r="A403">
            <v>46047</v>
          </cell>
          <cell r="E403" t="str">
            <v>Оганов А.С.0102</v>
          </cell>
          <cell r="I403">
            <v>180</v>
          </cell>
        </row>
        <row r="404">
          <cell r="A404">
            <v>46047</v>
          </cell>
          <cell r="E404" t="str">
            <v>Вероника 1996</v>
          </cell>
          <cell r="I404">
            <v>190</v>
          </cell>
        </row>
        <row r="405">
          <cell r="A405">
            <v>46047</v>
          </cell>
          <cell r="E405" t="str">
            <v>Вероника 1996</v>
          </cell>
          <cell r="I405">
            <v>90</v>
          </cell>
        </row>
        <row r="406">
          <cell r="A406">
            <v>46047</v>
          </cell>
          <cell r="E406" t="str">
            <v>Вероника 1996</v>
          </cell>
          <cell r="I406">
            <v>700</v>
          </cell>
        </row>
        <row r="407">
          <cell r="A407">
            <v>46047</v>
          </cell>
          <cell r="E407" t="str">
            <v>Вероника 1996</v>
          </cell>
          <cell r="I407">
            <v>190</v>
          </cell>
        </row>
        <row r="408">
          <cell r="A408">
            <v>46047</v>
          </cell>
          <cell r="E408" t="str">
            <v>Оганов А. С. 2106</v>
          </cell>
          <cell r="I408">
            <v>1600</v>
          </cell>
        </row>
        <row r="409">
          <cell r="A409">
            <v>46047</v>
          </cell>
          <cell r="E409" t="str">
            <v>Оганов А.С.3007</v>
          </cell>
          <cell r="I409">
            <v>1180</v>
          </cell>
        </row>
        <row r="410">
          <cell r="A410">
            <v>46048</v>
          </cell>
          <cell r="E410" t="str">
            <v>Оганов А.С.5984</v>
          </cell>
          <cell r="I410">
            <v>340</v>
          </cell>
        </row>
        <row r="411">
          <cell r="A411">
            <v>46047</v>
          </cell>
          <cell r="E411" t="str">
            <v>Оганов А.С.1505</v>
          </cell>
          <cell r="I411">
            <v>580</v>
          </cell>
        </row>
        <row r="412">
          <cell r="A412">
            <v>46047</v>
          </cell>
          <cell r="E412" t="str">
            <v>Оганов А.С.1505</v>
          </cell>
          <cell r="I412">
            <v>1060</v>
          </cell>
        </row>
        <row r="413">
          <cell r="A413">
            <v>46048</v>
          </cell>
          <cell r="E413" t="str">
            <v>Любовь 1302</v>
          </cell>
          <cell r="I413">
            <v>1450</v>
          </cell>
        </row>
        <row r="414">
          <cell r="A414">
            <v>46048</v>
          </cell>
          <cell r="E414" t="str">
            <v>Вероника 1996</v>
          </cell>
          <cell r="I414">
            <v>150</v>
          </cell>
        </row>
        <row r="415">
          <cell r="A415">
            <v>46048</v>
          </cell>
          <cell r="E415" t="str">
            <v>Оганов А.С.2404</v>
          </cell>
          <cell r="I415">
            <v>790</v>
          </cell>
        </row>
        <row r="416">
          <cell r="A416">
            <v>46048</v>
          </cell>
          <cell r="E416" t="str">
            <v>Оганов А.С.5984</v>
          </cell>
          <cell r="I416">
            <v>720</v>
          </cell>
        </row>
        <row r="417">
          <cell r="A417">
            <v>46048</v>
          </cell>
          <cell r="E417" t="str">
            <v>Оганов А.С.5984</v>
          </cell>
          <cell r="I417">
            <v>3100</v>
          </cell>
        </row>
        <row r="418">
          <cell r="A418">
            <v>46048</v>
          </cell>
          <cell r="E418" t="str">
            <v>Вероника 1996</v>
          </cell>
          <cell r="I418">
            <v>380</v>
          </cell>
        </row>
        <row r="419">
          <cell r="A419">
            <v>46049</v>
          </cell>
          <cell r="E419" t="str">
            <v>Оганов А.С.3007</v>
          </cell>
          <cell r="I419">
            <v>380</v>
          </cell>
        </row>
        <row r="420">
          <cell r="A420">
            <v>46049</v>
          </cell>
          <cell r="E420" t="str">
            <v>Оганов А.С.3007</v>
          </cell>
          <cell r="I420">
            <v>1550</v>
          </cell>
        </row>
        <row r="421">
          <cell r="A421">
            <v>46049</v>
          </cell>
          <cell r="E421" t="str">
            <v>Оганов А.С.3007</v>
          </cell>
          <cell r="I421">
            <v>1310</v>
          </cell>
        </row>
        <row r="422">
          <cell r="A422">
            <v>46049</v>
          </cell>
          <cell r="E422" t="str">
            <v>Оганов А.С.3007</v>
          </cell>
          <cell r="I422">
            <v>2080</v>
          </cell>
        </row>
        <row r="423">
          <cell r="A423">
            <v>46049</v>
          </cell>
          <cell r="E423" t="str">
            <v>Оганов А.С.5984</v>
          </cell>
          <cell r="I423">
            <v>400</v>
          </cell>
        </row>
        <row r="424">
          <cell r="A424">
            <v>46049</v>
          </cell>
          <cell r="E424" t="str">
            <v>Оганов А.С.3007</v>
          </cell>
          <cell r="I424">
            <v>190</v>
          </cell>
        </row>
        <row r="425">
          <cell r="A425">
            <v>46049</v>
          </cell>
          <cell r="E425" t="str">
            <v>Оганов А.С.2404</v>
          </cell>
          <cell r="I425">
            <v>1310</v>
          </cell>
        </row>
        <row r="426">
          <cell r="A426">
            <v>46049</v>
          </cell>
          <cell r="E426" t="str">
            <v>Оганов А.С.3007</v>
          </cell>
          <cell r="I426">
            <v>190</v>
          </cell>
        </row>
        <row r="427">
          <cell r="A427">
            <v>46049</v>
          </cell>
          <cell r="E427" t="str">
            <v>Оганов А.С.3007</v>
          </cell>
          <cell r="I427">
            <v>750</v>
          </cell>
        </row>
        <row r="428">
          <cell r="A428">
            <v>46049</v>
          </cell>
          <cell r="E428" t="str">
            <v>Оганов А.С.5984</v>
          </cell>
          <cell r="I428">
            <v>200</v>
          </cell>
        </row>
        <row r="429">
          <cell r="A429">
            <v>46049</v>
          </cell>
          <cell r="E429" t="str">
            <v>Оганов А.С.7272</v>
          </cell>
          <cell r="I429">
            <v>0</v>
          </cell>
        </row>
        <row r="430">
          <cell r="A430">
            <v>46050</v>
          </cell>
          <cell r="E430" t="str">
            <v>Оганов А.С.7272</v>
          </cell>
          <cell r="I430">
            <v>192</v>
          </cell>
        </row>
        <row r="431">
          <cell r="A431">
            <v>46050</v>
          </cell>
          <cell r="E431" t="str">
            <v>Оганов А.С.0208</v>
          </cell>
          <cell r="I431">
            <v>190</v>
          </cell>
        </row>
        <row r="432">
          <cell r="A432">
            <v>46050</v>
          </cell>
          <cell r="E432" t="str">
            <v>Оганов А.С.0208</v>
          </cell>
          <cell r="I432">
            <v>1300</v>
          </cell>
        </row>
        <row r="433">
          <cell r="A433">
            <v>46050</v>
          </cell>
          <cell r="E433" t="str">
            <v>Виктория 2502</v>
          </cell>
          <cell r="I433">
            <v>660</v>
          </cell>
        </row>
        <row r="434">
          <cell r="A434">
            <v>46050</v>
          </cell>
          <cell r="E434" t="str">
            <v>Виктория 2502</v>
          </cell>
          <cell r="I434">
            <v>1300</v>
          </cell>
        </row>
        <row r="435">
          <cell r="A435">
            <v>46050</v>
          </cell>
          <cell r="E435" t="str">
            <v>Виктория 2502</v>
          </cell>
          <cell r="I435">
            <v>1350</v>
          </cell>
        </row>
        <row r="436">
          <cell r="A436">
            <v>46050</v>
          </cell>
          <cell r="E436" t="str">
            <v>Оганов А. С. 2106</v>
          </cell>
          <cell r="I436">
            <v>1600</v>
          </cell>
        </row>
        <row r="437">
          <cell r="A437">
            <v>46050</v>
          </cell>
          <cell r="E437" t="str">
            <v>Оганов А. С. 2106</v>
          </cell>
          <cell r="I437">
            <v>190</v>
          </cell>
        </row>
        <row r="438">
          <cell r="A438">
            <v>46050</v>
          </cell>
          <cell r="E438" t="str">
            <v>Оганов А.С.7272</v>
          </cell>
          <cell r="I438">
            <v>180</v>
          </cell>
        </row>
        <row r="439">
          <cell r="A439">
            <v>46050</v>
          </cell>
          <cell r="E439" t="str">
            <v>Оганов А.С.3007</v>
          </cell>
          <cell r="I439">
            <v>570</v>
          </cell>
        </row>
        <row r="440">
          <cell r="A440">
            <v>46051</v>
          </cell>
          <cell r="E440" t="str">
            <v>Виктория 2502</v>
          </cell>
          <cell r="I440">
            <v>300</v>
          </cell>
        </row>
        <row r="441">
          <cell r="A441">
            <v>46051</v>
          </cell>
          <cell r="E441" t="str">
            <v>Оганов А.С.1505</v>
          </cell>
          <cell r="I441">
            <v>1310</v>
          </cell>
        </row>
        <row r="442">
          <cell r="A442">
            <v>46051</v>
          </cell>
          <cell r="E442" t="str">
            <v>Оганов А.С.1505</v>
          </cell>
          <cell r="I442">
            <v>1060</v>
          </cell>
        </row>
        <row r="443">
          <cell r="A443">
            <v>46051</v>
          </cell>
          <cell r="E443" t="str">
            <v>Оганов А.С.1505</v>
          </cell>
          <cell r="I443">
            <v>190</v>
          </cell>
        </row>
        <row r="444">
          <cell r="A444">
            <v>46051</v>
          </cell>
          <cell r="E444" t="str">
            <v>Оганов А.С.1505</v>
          </cell>
          <cell r="I444">
            <v>520</v>
          </cell>
        </row>
        <row r="445">
          <cell r="A445">
            <v>46051</v>
          </cell>
          <cell r="E445" t="str">
            <v>Оганов А.С.1505</v>
          </cell>
          <cell r="I445">
            <v>520</v>
          </cell>
        </row>
        <row r="446">
          <cell r="A446">
            <v>46051</v>
          </cell>
          <cell r="E446" t="str">
            <v>Вероника 1996</v>
          </cell>
          <cell r="I446">
            <v>2080</v>
          </cell>
        </row>
        <row r="447">
          <cell r="A447">
            <v>46051</v>
          </cell>
          <cell r="E447" t="str">
            <v>Вероника 1996</v>
          </cell>
          <cell r="I447">
            <v>90</v>
          </cell>
        </row>
        <row r="448">
          <cell r="A448">
            <v>46051</v>
          </cell>
          <cell r="E448" t="str">
            <v>Оганов А. С. 2106</v>
          </cell>
          <cell r="I448">
            <v>1170</v>
          </cell>
        </row>
        <row r="449">
          <cell r="A449">
            <v>46051</v>
          </cell>
          <cell r="E449" t="str">
            <v>Оганов А.С.0102</v>
          </cell>
          <cell r="I449">
            <v>0</v>
          </cell>
        </row>
        <row r="450">
          <cell r="A450">
            <v>46051</v>
          </cell>
          <cell r="E450" t="str">
            <v>Оганов А.С.0102</v>
          </cell>
          <cell r="I450">
            <v>190</v>
          </cell>
        </row>
        <row r="451">
          <cell r="A451">
            <v>46051</v>
          </cell>
          <cell r="E451" t="str">
            <v>Оганов А.С.3007</v>
          </cell>
          <cell r="I451">
            <v>1300</v>
          </cell>
        </row>
        <row r="452">
          <cell r="A452">
            <v>46051</v>
          </cell>
          <cell r="E452" t="str">
            <v>Оганов А.С.3007</v>
          </cell>
          <cell r="I452">
            <v>130</v>
          </cell>
        </row>
        <row r="453">
          <cell r="A453">
            <v>46051</v>
          </cell>
          <cell r="E453" t="str">
            <v>Вероника 1996</v>
          </cell>
          <cell r="I453">
            <v>1180</v>
          </cell>
        </row>
        <row r="454">
          <cell r="A454">
            <v>46051</v>
          </cell>
          <cell r="E454" t="str">
            <v>Вероника 1996</v>
          </cell>
          <cell r="I454">
            <v>0</v>
          </cell>
        </row>
        <row r="455">
          <cell r="A455">
            <v>46051</v>
          </cell>
          <cell r="E455" t="str">
            <v>Оганов А.С.1505</v>
          </cell>
          <cell r="I455">
            <v>250</v>
          </cell>
        </row>
        <row r="456">
          <cell r="A456">
            <v>46051</v>
          </cell>
          <cell r="E456" t="str">
            <v>Оганов А.С.3007</v>
          </cell>
          <cell r="I456">
            <v>1050</v>
          </cell>
        </row>
        <row r="457">
          <cell r="A457">
            <v>46051</v>
          </cell>
          <cell r="E457" t="str">
            <v>Виктория 2502</v>
          </cell>
          <cell r="I457">
            <v>2000</v>
          </cell>
        </row>
        <row r="458">
          <cell r="A458">
            <v>46051</v>
          </cell>
          <cell r="E458" t="str">
            <v>Виктория 2502</v>
          </cell>
          <cell r="I458">
            <v>660</v>
          </cell>
        </row>
        <row r="459">
          <cell r="A459">
            <v>46051</v>
          </cell>
          <cell r="E459" t="str">
            <v>Виктория 2502</v>
          </cell>
          <cell r="I459">
            <v>660</v>
          </cell>
        </row>
        <row r="460">
          <cell r="A460">
            <v>46051</v>
          </cell>
          <cell r="E460" t="str">
            <v>Вероника 1996</v>
          </cell>
          <cell r="I460">
            <v>2220</v>
          </cell>
        </row>
        <row r="461">
          <cell r="A461">
            <v>46051</v>
          </cell>
          <cell r="E461" t="str">
            <v>Вероника 1996</v>
          </cell>
          <cell r="I461">
            <v>2020</v>
          </cell>
        </row>
        <row r="462">
          <cell r="A462">
            <v>46051</v>
          </cell>
          <cell r="E462" t="str">
            <v>Оганов А.С.0102</v>
          </cell>
          <cell r="I462">
            <v>0</v>
          </cell>
        </row>
        <row r="463">
          <cell r="A463">
            <v>46051</v>
          </cell>
          <cell r="E463" t="str">
            <v>Вероника 1996</v>
          </cell>
          <cell r="I463">
            <v>860</v>
          </cell>
        </row>
        <row r="464">
          <cell r="A464">
            <v>46051</v>
          </cell>
          <cell r="E464" t="str">
            <v>Вероника 1996</v>
          </cell>
          <cell r="I464">
            <v>1550</v>
          </cell>
        </row>
        <row r="465">
          <cell r="A465">
            <v>46051</v>
          </cell>
          <cell r="E465" t="str">
            <v>Оганов А.С.1505</v>
          </cell>
          <cell r="I465">
            <v>1500</v>
          </cell>
        </row>
        <row r="466">
          <cell r="A466">
            <v>46051</v>
          </cell>
          <cell r="E466" t="str">
            <v>Вероника 1996</v>
          </cell>
          <cell r="I466">
            <v>150</v>
          </cell>
        </row>
        <row r="467">
          <cell r="A467">
            <v>46051</v>
          </cell>
          <cell r="E467" t="str">
            <v>Вероника 1996</v>
          </cell>
          <cell r="I467">
            <v>1600</v>
          </cell>
        </row>
        <row r="468">
          <cell r="A468">
            <v>46052</v>
          </cell>
          <cell r="E468" t="str">
            <v>Оганов А.С.5984</v>
          </cell>
          <cell r="I468">
            <v>1050</v>
          </cell>
        </row>
        <row r="469">
          <cell r="A469">
            <v>46052</v>
          </cell>
          <cell r="E469" t="str">
            <v>Оганов А.С.0102</v>
          </cell>
          <cell r="I469">
            <v>0</v>
          </cell>
        </row>
        <row r="470">
          <cell r="A470">
            <v>46052</v>
          </cell>
          <cell r="E470" t="str">
            <v>Вероника 1996</v>
          </cell>
          <cell r="I470">
            <v>860</v>
          </cell>
        </row>
        <row r="471">
          <cell r="A471">
            <v>46052</v>
          </cell>
          <cell r="E471" t="str">
            <v>Екатерина 2201</v>
          </cell>
          <cell r="I471">
            <v>1550</v>
          </cell>
        </row>
        <row r="472">
          <cell r="A472">
            <v>46052</v>
          </cell>
          <cell r="E472" t="str">
            <v>Любовь 1302</v>
          </cell>
          <cell r="I472">
            <v>300</v>
          </cell>
        </row>
        <row r="473">
          <cell r="A473">
            <v>46052</v>
          </cell>
          <cell r="E473" t="str">
            <v>Любовь 1302</v>
          </cell>
          <cell r="I473">
            <v>300</v>
          </cell>
        </row>
        <row r="474">
          <cell r="A474">
            <v>46052</v>
          </cell>
          <cell r="E474" t="str">
            <v>Любовь 1302</v>
          </cell>
          <cell r="I474">
            <v>1180</v>
          </cell>
        </row>
        <row r="475">
          <cell r="A475">
            <v>46052</v>
          </cell>
          <cell r="E475" t="str">
            <v>Любовь 1302</v>
          </cell>
          <cell r="I475">
            <v>1040</v>
          </cell>
        </row>
        <row r="476">
          <cell r="A476">
            <v>46052</v>
          </cell>
          <cell r="E476" t="str">
            <v>Вероника 1996</v>
          </cell>
          <cell r="I476">
            <v>1300</v>
          </cell>
        </row>
        <row r="477">
          <cell r="A477">
            <v>46052</v>
          </cell>
          <cell r="E477" t="str">
            <v>Вероника 1996</v>
          </cell>
          <cell r="I477">
            <v>2220</v>
          </cell>
        </row>
        <row r="478">
          <cell r="A478">
            <v>46052</v>
          </cell>
          <cell r="E478" t="str">
            <v>Екатерина 2201</v>
          </cell>
          <cell r="I478">
            <v>1550</v>
          </cell>
        </row>
        <row r="479">
          <cell r="A479">
            <v>46052</v>
          </cell>
          <cell r="E479" t="str">
            <v>Вероника 1996</v>
          </cell>
          <cell r="I479">
            <v>90</v>
          </cell>
        </row>
        <row r="480">
          <cell r="A480">
            <v>46052</v>
          </cell>
          <cell r="E480" t="str">
            <v>Вероника 1996</v>
          </cell>
          <cell r="I480">
            <v>640</v>
          </cell>
        </row>
        <row r="481">
          <cell r="A481">
            <v>46052</v>
          </cell>
          <cell r="E481" t="str">
            <v>Екатерина 2201</v>
          </cell>
          <cell r="I481">
            <v>520</v>
          </cell>
        </row>
        <row r="482">
          <cell r="A482">
            <v>46052</v>
          </cell>
          <cell r="E482" t="str">
            <v>Екатерина 2201</v>
          </cell>
          <cell r="I482">
            <v>520</v>
          </cell>
        </row>
        <row r="483">
          <cell r="A483">
            <v>46053</v>
          </cell>
          <cell r="E483" t="str">
            <v>Оганов А.С.7272</v>
          </cell>
          <cell r="I483">
            <v>2120</v>
          </cell>
        </row>
        <row r="484">
          <cell r="A484">
            <v>46053</v>
          </cell>
          <cell r="E484" t="str">
            <v>Оганов А.С.7272</v>
          </cell>
          <cell r="I484">
            <v>1180</v>
          </cell>
        </row>
        <row r="485">
          <cell r="A485">
            <v>46053</v>
          </cell>
          <cell r="E485" t="str">
            <v>Оганов А.С.5984</v>
          </cell>
          <cell r="I485">
            <v>520</v>
          </cell>
        </row>
        <row r="486">
          <cell r="A486">
            <v>46053</v>
          </cell>
          <cell r="E486" t="str">
            <v>Оганов А.С.7272</v>
          </cell>
          <cell r="I486">
            <v>0</v>
          </cell>
        </row>
        <row r="487">
          <cell r="A487">
            <v>46053</v>
          </cell>
          <cell r="E487" t="str">
            <v>Оганов А.С.7272</v>
          </cell>
          <cell r="I487">
            <v>1310</v>
          </cell>
        </row>
        <row r="488">
          <cell r="A488">
            <v>46053</v>
          </cell>
          <cell r="E488" t="str">
            <v>Екатерина 2201</v>
          </cell>
          <cell r="I488">
            <v>1050</v>
          </cell>
        </row>
        <row r="489">
          <cell r="A489">
            <v>46053</v>
          </cell>
          <cell r="E489" t="str">
            <v>Оганов А.С.2404</v>
          </cell>
          <cell r="I489">
            <v>1310</v>
          </cell>
        </row>
        <row r="490">
          <cell r="A490">
            <v>46053</v>
          </cell>
          <cell r="E490" t="str">
            <v>Любовь 1302</v>
          </cell>
          <cell r="I490">
            <v>300</v>
          </cell>
        </row>
        <row r="491">
          <cell r="A491">
            <v>46053</v>
          </cell>
          <cell r="E491" t="str">
            <v>Любовь 1302</v>
          </cell>
          <cell r="I491">
            <v>190</v>
          </cell>
        </row>
        <row r="492">
          <cell r="A492">
            <v>46053</v>
          </cell>
          <cell r="E492" t="str">
            <v>Любовь 1302</v>
          </cell>
          <cell r="I492">
            <v>570</v>
          </cell>
        </row>
        <row r="493">
          <cell r="A493">
            <v>46053</v>
          </cell>
          <cell r="E493" t="str">
            <v>Оганов А.С.5984</v>
          </cell>
          <cell r="I493">
            <v>300</v>
          </cell>
        </row>
        <row r="494">
          <cell r="A494">
            <v>46053</v>
          </cell>
          <cell r="E494" t="str">
            <v>Екатерина 2201</v>
          </cell>
          <cell r="I494">
            <v>440</v>
          </cell>
        </row>
        <row r="495">
          <cell r="A495">
            <v>46053</v>
          </cell>
          <cell r="E495" t="str">
            <v>Оганов А.С.2404</v>
          </cell>
          <cell r="I495">
            <v>90</v>
          </cell>
        </row>
        <row r="496">
          <cell r="A496">
            <v>46053</v>
          </cell>
          <cell r="E496" t="str">
            <v>Екатерина 2201</v>
          </cell>
          <cell r="I496">
            <v>900</v>
          </cell>
        </row>
        <row r="497">
          <cell r="A497">
            <v>46053</v>
          </cell>
          <cell r="E497" t="str">
            <v>Оганов А.С.7272</v>
          </cell>
          <cell r="I497">
            <v>440</v>
          </cell>
        </row>
        <row r="498">
          <cell r="A498">
            <v>46053</v>
          </cell>
          <cell r="E498" t="str">
            <v>Оганов А.С.7272</v>
          </cell>
          <cell r="I498">
            <v>0</v>
          </cell>
        </row>
        <row r="499">
          <cell r="A499">
            <v>46053</v>
          </cell>
          <cell r="E499" t="str">
            <v>Вероника 1996</v>
          </cell>
          <cell r="I499">
            <v>1600</v>
          </cell>
        </row>
        <row r="500">
          <cell r="A500">
            <v>46053</v>
          </cell>
          <cell r="E500" t="str">
            <v>Екатерина 2201</v>
          </cell>
          <cell r="I500">
            <v>1450</v>
          </cell>
        </row>
        <row r="501">
          <cell r="A501">
            <v>46053</v>
          </cell>
          <cell r="E501" t="str">
            <v>Екатерина 2201</v>
          </cell>
          <cell r="I501">
            <v>1310</v>
          </cell>
        </row>
        <row r="502">
          <cell r="A502">
            <v>46053</v>
          </cell>
          <cell r="E502" t="str">
            <v>Екатерина 2201</v>
          </cell>
          <cell r="I502">
            <v>2020</v>
          </cell>
        </row>
        <row r="503">
          <cell r="A503">
            <v>46053</v>
          </cell>
          <cell r="E503" t="str">
            <v>Вероника 1996</v>
          </cell>
          <cell r="I503">
            <v>1060</v>
          </cell>
        </row>
        <row r="504">
          <cell r="A504">
            <v>46053</v>
          </cell>
          <cell r="E504" t="str">
            <v>Вероника 1996</v>
          </cell>
          <cell r="I504">
            <v>1600</v>
          </cell>
        </row>
        <row r="505">
          <cell r="A505">
            <v>46053</v>
          </cell>
          <cell r="E505" t="str">
            <v>Вероника 1996</v>
          </cell>
          <cell r="I505">
            <v>190</v>
          </cell>
        </row>
        <row r="506">
          <cell r="A506">
            <v>46053</v>
          </cell>
          <cell r="E506" t="str">
            <v>Оганов А.С.7272</v>
          </cell>
          <cell r="I506">
            <v>3000</v>
          </cell>
        </row>
        <row r="507">
          <cell r="A507">
            <v>46053</v>
          </cell>
          <cell r="E507" t="str">
            <v>Вероника 1996</v>
          </cell>
          <cell r="I507">
            <v>1520</v>
          </cell>
        </row>
        <row r="508">
          <cell r="A508">
            <v>46054</v>
          </cell>
          <cell r="E508" t="str">
            <v>Оганов А.С.3007</v>
          </cell>
          <cell r="I508">
            <v>1170</v>
          </cell>
        </row>
        <row r="509">
          <cell r="A509">
            <v>46054</v>
          </cell>
          <cell r="E509" t="str">
            <v>Оганов А.С.3007</v>
          </cell>
          <cell r="I509">
            <v>1440</v>
          </cell>
        </row>
        <row r="510">
          <cell r="A510">
            <v>46054</v>
          </cell>
          <cell r="E510" t="str">
            <v>Оганов А.С.3007</v>
          </cell>
          <cell r="I510">
            <v>1630</v>
          </cell>
        </row>
        <row r="511">
          <cell r="A511">
            <v>46054</v>
          </cell>
          <cell r="E511" t="str">
            <v>Оганов А.С.5984</v>
          </cell>
          <cell r="I511">
            <v>440</v>
          </cell>
        </row>
        <row r="512">
          <cell r="A512">
            <v>46054</v>
          </cell>
          <cell r="E512" t="str">
            <v>Оганов А.С.5984</v>
          </cell>
          <cell r="I512">
            <v>420</v>
          </cell>
        </row>
        <row r="513">
          <cell r="A513">
            <v>46054</v>
          </cell>
          <cell r="E513" t="str">
            <v>Оганов А.С.3007</v>
          </cell>
          <cell r="I513">
            <v>200</v>
          </cell>
        </row>
        <row r="514">
          <cell r="A514">
            <v>46054</v>
          </cell>
          <cell r="E514" t="str">
            <v>Оганов А.С.3007</v>
          </cell>
          <cell r="I514">
            <v>1060</v>
          </cell>
        </row>
        <row r="515">
          <cell r="A515">
            <v>46054</v>
          </cell>
          <cell r="E515" t="str">
            <v>Оганов А.С.5984</v>
          </cell>
          <cell r="I515">
            <v>190</v>
          </cell>
        </row>
        <row r="516">
          <cell r="A516">
            <v>46054</v>
          </cell>
          <cell r="E516" t="str">
            <v>Оганов А.С.7272</v>
          </cell>
          <cell r="I516">
            <v>2220</v>
          </cell>
        </row>
        <row r="517">
          <cell r="A517">
            <v>46054</v>
          </cell>
          <cell r="E517" t="str">
            <v>Виктория 2502</v>
          </cell>
          <cell r="I517">
            <v>1060</v>
          </cell>
        </row>
        <row r="518">
          <cell r="A518">
            <v>46054</v>
          </cell>
          <cell r="E518" t="str">
            <v>Оганов А. С. 2106</v>
          </cell>
          <cell r="I518">
            <v>900</v>
          </cell>
        </row>
        <row r="519">
          <cell r="A519">
            <v>46054</v>
          </cell>
          <cell r="E519" t="str">
            <v>Оганов А. С. 2106</v>
          </cell>
          <cell r="I519">
            <v>1550</v>
          </cell>
        </row>
        <row r="520">
          <cell r="A520">
            <v>46054</v>
          </cell>
          <cell r="E520" t="str">
            <v>Виктория 2502</v>
          </cell>
          <cell r="I520">
            <v>180</v>
          </cell>
        </row>
        <row r="521">
          <cell r="A521">
            <v>46054</v>
          </cell>
          <cell r="E521" t="str">
            <v>Оганов А.С.3007</v>
          </cell>
          <cell r="I521">
            <v>1300</v>
          </cell>
        </row>
        <row r="522">
          <cell r="A522">
            <v>46055</v>
          </cell>
          <cell r="E522" t="str">
            <v>Оганов А.С.5984</v>
          </cell>
          <cell r="I522">
            <v>270</v>
          </cell>
        </row>
        <row r="523">
          <cell r="A523">
            <v>46055</v>
          </cell>
          <cell r="E523" t="str">
            <v>Виктория 2502</v>
          </cell>
          <cell r="I523">
            <v>520</v>
          </cell>
        </row>
        <row r="524">
          <cell r="A524">
            <v>46055</v>
          </cell>
          <cell r="E524" t="str">
            <v>Оганов А.С.7272</v>
          </cell>
          <cell r="I524">
            <v>0</v>
          </cell>
        </row>
        <row r="525">
          <cell r="A525">
            <v>46055</v>
          </cell>
          <cell r="E525" t="str">
            <v>Оганов А.С.3007</v>
          </cell>
          <cell r="I525">
            <v>1880</v>
          </cell>
        </row>
        <row r="526">
          <cell r="A526">
            <v>46055</v>
          </cell>
          <cell r="E526" t="str">
            <v>Оганов А.С.5984</v>
          </cell>
          <cell r="I526">
            <v>1300</v>
          </cell>
        </row>
        <row r="527">
          <cell r="A527">
            <v>46055</v>
          </cell>
          <cell r="E527" t="str">
            <v>Оганов А.С.5984</v>
          </cell>
          <cell r="I527">
            <v>850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Запрос1"/>
      <sheetName val="Лист1"/>
    </sheetNames>
    <sheetDataSet>
      <sheetData sheetId="0">
        <row r="2">
          <cell r="C2" t="str">
            <v>Оганов А.С.7272</v>
          </cell>
          <cell r="E2">
            <v>46037.357936064815</v>
          </cell>
        </row>
        <row r="3">
          <cell r="C3" t="str">
            <v>Оганов А.С.7272</v>
          </cell>
          <cell r="E3">
            <v>46035.394378622688</v>
          </cell>
        </row>
        <row r="4">
          <cell r="C4" t="str">
            <v>Оганов А.С.7272</v>
          </cell>
          <cell r="E4">
            <v>46054.757232175929</v>
          </cell>
        </row>
        <row r="5">
          <cell r="C5" t="str">
            <v>Оганов А.С.3007</v>
          </cell>
          <cell r="E5">
            <v>46033.688757037038</v>
          </cell>
        </row>
        <row r="6">
          <cell r="C6" t="str">
            <v>Оганов А.С.3007</v>
          </cell>
          <cell r="E6">
            <v>46027.93292053241</v>
          </cell>
        </row>
        <row r="7">
          <cell r="C7" t="str">
            <v>Оганов А.С.7272</v>
          </cell>
          <cell r="E7">
            <v>46039.507816018522</v>
          </cell>
        </row>
        <row r="8">
          <cell r="C8" t="str">
            <v>Карина Т.</v>
          </cell>
          <cell r="E8">
            <v>46045.462113217596</v>
          </cell>
        </row>
        <row r="9">
          <cell r="C9" t="str">
            <v>Оганов А.С.2602</v>
          </cell>
          <cell r="E9">
            <v>46047.54928146991</v>
          </cell>
        </row>
        <row r="10">
          <cell r="C10" t="str">
            <v>Оганов А.С.2602</v>
          </cell>
          <cell r="E10">
            <v>46050.705899560184</v>
          </cell>
        </row>
        <row r="11">
          <cell r="C11" t="str">
            <v>Оганов А.С.2602</v>
          </cell>
          <cell r="E11">
            <v>46050.682505439814</v>
          </cell>
        </row>
        <row r="12">
          <cell r="C12" t="str">
            <v>Оганов А.С.2602</v>
          </cell>
          <cell r="E12">
            <v>46050.682505439814</v>
          </cell>
        </row>
        <row r="13">
          <cell r="C13" t="str">
            <v>Оганов А.С.2602</v>
          </cell>
          <cell r="E13">
            <v>46050.682505439814</v>
          </cell>
        </row>
        <row r="14">
          <cell r="C14" t="str">
            <v>Оганов А.С.2602</v>
          </cell>
          <cell r="E14">
            <v>46035.392976504627</v>
          </cell>
        </row>
        <row r="15">
          <cell r="C15" t="str">
            <v>Вероника 1996</v>
          </cell>
          <cell r="E15">
            <v>46039.54868472222</v>
          </cell>
        </row>
        <row r="16">
          <cell r="C16" t="str">
            <v>Оганов А.С.3007</v>
          </cell>
          <cell r="E16">
            <v>46050.726992916665</v>
          </cell>
        </row>
        <row r="17">
          <cell r="C17" t="str">
            <v>Оганов А.С.2602</v>
          </cell>
          <cell r="E17">
            <v>46035.396022430556</v>
          </cell>
        </row>
        <row r="18">
          <cell r="C18" t="str">
            <v>Оганов А.С.2602</v>
          </cell>
          <cell r="E18">
            <v>46035.396022430556</v>
          </cell>
        </row>
        <row r="19">
          <cell r="C19" t="str">
            <v>Оганов А.С.2602</v>
          </cell>
          <cell r="E19">
            <v>46035.396022430556</v>
          </cell>
        </row>
        <row r="20">
          <cell r="C20" t="str">
            <v>Оганов А.С.5984</v>
          </cell>
          <cell r="E20">
            <v>46033.523042291665</v>
          </cell>
        </row>
        <row r="21">
          <cell r="C21" t="str">
            <v>Оганов А.С.3007</v>
          </cell>
          <cell r="E21">
            <v>46050.726992916665</v>
          </cell>
        </row>
        <row r="22">
          <cell r="C22" t="str">
            <v>Оганов А.С.2602</v>
          </cell>
          <cell r="E22">
            <v>46041.725965046295</v>
          </cell>
        </row>
        <row r="23">
          <cell r="C23" t="str">
            <v>Оганов А.С.2602</v>
          </cell>
          <cell r="E23">
            <v>46041.725965046295</v>
          </cell>
        </row>
        <row r="24">
          <cell r="C24" t="str">
            <v>Вероника 1996</v>
          </cell>
          <cell r="E24">
            <v>46040.760513217596</v>
          </cell>
        </row>
        <row r="25">
          <cell r="C25" t="str">
            <v>Оганов А.С.2602</v>
          </cell>
          <cell r="E25">
            <v>46047.549993252316</v>
          </cell>
        </row>
        <row r="26">
          <cell r="C26" t="str">
            <v>Оганов А.С.2602</v>
          </cell>
          <cell r="E26">
            <v>46039.548164884261</v>
          </cell>
        </row>
        <row r="27">
          <cell r="C27" t="str">
            <v>Оганов А.С.7272</v>
          </cell>
          <cell r="E27">
            <v>46039.546288437501</v>
          </cell>
        </row>
        <row r="28">
          <cell r="C28" t="str">
            <v>Оганов А.С.2404</v>
          </cell>
          <cell r="E28">
            <v>46040.764235810188</v>
          </cell>
        </row>
        <row r="29">
          <cell r="C29" t="str">
            <v>Оганов А.С.3007</v>
          </cell>
          <cell r="E29">
            <v>46042.703664062501</v>
          </cell>
        </row>
        <row r="30">
          <cell r="C30" t="str">
            <v>Оганов А.С.3007</v>
          </cell>
          <cell r="E30">
            <v>46042.703664062501</v>
          </cell>
        </row>
        <row r="31">
          <cell r="C31" t="str">
            <v>Оганов А.С.3007</v>
          </cell>
          <cell r="E31">
            <v>46051.810087592596</v>
          </cell>
        </row>
        <row r="32">
          <cell r="C32" t="str">
            <v>Оганов А.С.5984</v>
          </cell>
          <cell r="E32">
            <v>46042.703189791668</v>
          </cell>
        </row>
        <row r="33">
          <cell r="C33" t="str">
            <v>Оганов А.С.5984</v>
          </cell>
          <cell r="E33">
            <v>46043.72390355324</v>
          </cell>
        </row>
        <row r="34">
          <cell r="C34" t="str">
            <v>Вероника 1996</v>
          </cell>
          <cell r="E34">
            <v>46051.810486388888</v>
          </cell>
        </row>
        <row r="35">
          <cell r="C35" t="str">
            <v>Оганов А.С.1505</v>
          </cell>
          <cell r="E35">
            <v>46037.360156168979</v>
          </cell>
        </row>
        <row r="36">
          <cell r="C36" t="str">
            <v>Оганов А.С.1505</v>
          </cell>
          <cell r="E36">
            <v>46037.360156168979</v>
          </cell>
        </row>
        <row r="37">
          <cell r="C37" t="str">
            <v>Оганов А.С.7755</v>
          </cell>
          <cell r="E37">
            <v>46040.75822556713</v>
          </cell>
        </row>
        <row r="38">
          <cell r="C38" t="str">
            <v>Оганов А.С.1505</v>
          </cell>
          <cell r="E38">
            <v>46037.360521203707</v>
          </cell>
        </row>
        <row r="39">
          <cell r="C39" t="str">
            <v>Оганов А.С.3007</v>
          </cell>
          <cell r="E39">
            <v>46040.758950451389</v>
          </cell>
        </row>
        <row r="40">
          <cell r="C40" t="str">
            <v>Оганов А.С.1505</v>
          </cell>
          <cell r="E40">
            <v>46040.759731388891</v>
          </cell>
        </row>
        <row r="41">
          <cell r="C41" t="str">
            <v>Оганов А.С.1505</v>
          </cell>
          <cell r="E41">
            <v>46040.759731388891</v>
          </cell>
        </row>
        <row r="42">
          <cell r="C42" t="str">
            <v>Оганов А.С.3007</v>
          </cell>
          <cell r="E42">
            <v>46042.704025219908</v>
          </cell>
        </row>
        <row r="43">
          <cell r="C43" t="str">
            <v>Оганов А.С.3007</v>
          </cell>
          <cell r="E43">
            <v>46042.704025219908</v>
          </cell>
        </row>
        <row r="44">
          <cell r="C44" t="str">
            <v>Вероника 1996</v>
          </cell>
          <cell r="E44">
            <v>46054.762702777778</v>
          </cell>
        </row>
        <row r="45">
          <cell r="C45" t="str">
            <v>Оганов А.С.5984</v>
          </cell>
          <cell r="E45">
            <v>46050.681168622687</v>
          </cell>
        </row>
        <row r="46">
          <cell r="C46" t="str">
            <v>Вероника 1996</v>
          </cell>
          <cell r="E46">
            <v>46054.762236956019</v>
          </cell>
        </row>
        <row r="47">
          <cell r="C47" t="str">
            <v>Вероника 1996</v>
          </cell>
          <cell r="E47">
            <v>46054.762236956019</v>
          </cell>
        </row>
        <row r="48">
          <cell r="C48" t="str">
            <v>Оганов А.С.1505</v>
          </cell>
          <cell r="E48">
            <v>46048.505621921293</v>
          </cell>
        </row>
        <row r="49">
          <cell r="C49" t="str">
            <v>Оганов А.С.2404</v>
          </cell>
          <cell r="E49">
            <v>46054.761386053244</v>
          </cell>
        </row>
        <row r="50">
          <cell r="C50" t="str">
            <v>Оганов А.С.1505</v>
          </cell>
          <cell r="E50">
            <v>46054.761024629632</v>
          </cell>
        </row>
        <row r="51">
          <cell r="C51" t="str">
            <v>Оганов А.С.3007</v>
          </cell>
          <cell r="E51">
            <v>46051.411182800926</v>
          </cell>
        </row>
        <row r="52">
          <cell r="C52" t="str">
            <v>Оганов А.С.3007</v>
          </cell>
          <cell r="E52">
            <v>46051.812371307868</v>
          </cell>
        </row>
        <row r="53">
          <cell r="C53" t="str">
            <v>Вероника 1996</v>
          </cell>
          <cell r="E53">
            <v>46052.36907148148</v>
          </cell>
        </row>
        <row r="54">
          <cell r="C54" t="str">
            <v>Оганов А.С.3007</v>
          </cell>
          <cell r="E54">
            <v>46050.684717268516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Запрос1"/>
      <sheetName val="Лист1"/>
    </sheetNames>
    <sheetDataSet>
      <sheetData sheetId="0">
        <row r="2">
          <cell r="A2">
            <v>45663</v>
          </cell>
          <cell r="E2" t="str">
            <v>Оганов А.С.1802</v>
          </cell>
          <cell r="J2">
            <v>20001</v>
          </cell>
        </row>
        <row r="3">
          <cell r="A3">
            <v>45665</v>
          </cell>
          <cell r="E3" t="str">
            <v>Оганов А.С.1505</v>
          </cell>
          <cell r="J3">
            <v>10000</v>
          </cell>
        </row>
        <row r="4">
          <cell r="A4">
            <v>45665</v>
          </cell>
          <cell r="E4" t="str">
            <v>Оганов А.С.1505</v>
          </cell>
          <cell r="J4">
            <v>10000</v>
          </cell>
        </row>
        <row r="5">
          <cell r="A5">
            <v>45665</v>
          </cell>
          <cell r="E5" t="str">
            <v>Оганов А.С.1505</v>
          </cell>
          <cell r="J5">
            <v>10000</v>
          </cell>
        </row>
        <row r="6">
          <cell r="A6">
            <v>45665</v>
          </cell>
          <cell r="E6" t="str">
            <v>Оганов А.С.1505</v>
          </cell>
          <cell r="J6">
            <v>10000</v>
          </cell>
        </row>
        <row r="7">
          <cell r="A7">
            <v>45665</v>
          </cell>
          <cell r="E7" t="str">
            <v>Оганов А.С.1505</v>
          </cell>
          <cell r="J7">
            <v>10000</v>
          </cell>
        </row>
        <row r="8">
          <cell r="A8">
            <v>45665</v>
          </cell>
          <cell r="E8" t="str">
            <v>Оганов А.С.1505</v>
          </cell>
          <cell r="J8">
            <v>10000</v>
          </cell>
        </row>
        <row r="9">
          <cell r="A9">
            <v>45668</v>
          </cell>
          <cell r="E9" t="str">
            <v>Оганов А.С.0102</v>
          </cell>
          <cell r="J9">
            <v>25000</v>
          </cell>
        </row>
        <row r="10">
          <cell r="A10">
            <v>45674</v>
          </cell>
          <cell r="E10" t="str">
            <v>Оганов А.С.0102</v>
          </cell>
          <cell r="J10">
            <v>23400</v>
          </cell>
        </row>
        <row r="11">
          <cell r="A11">
            <v>45686</v>
          </cell>
          <cell r="E11" t="str">
            <v>Оганов А.С.0102</v>
          </cell>
          <cell r="J11">
            <v>0</v>
          </cell>
        </row>
        <row r="12">
          <cell r="A12">
            <v>45686</v>
          </cell>
          <cell r="E12" t="str">
            <v>Оганов А.С.0102</v>
          </cell>
          <cell r="J12">
            <v>0</v>
          </cell>
        </row>
        <row r="13">
          <cell r="A13">
            <v>45696</v>
          </cell>
          <cell r="E13" t="str">
            <v>Оганов А.С.1505</v>
          </cell>
          <cell r="J13">
            <v>0</v>
          </cell>
        </row>
        <row r="14">
          <cell r="A14">
            <v>45697</v>
          </cell>
          <cell r="E14" t="str">
            <v>Оганов А.С.1505</v>
          </cell>
          <cell r="J14">
            <v>0</v>
          </cell>
        </row>
        <row r="15">
          <cell r="A15">
            <v>45665</v>
          </cell>
          <cell r="E15" t="str">
            <v>Оганов А.С.1505</v>
          </cell>
          <cell r="J15">
            <v>5000</v>
          </cell>
        </row>
        <row r="16">
          <cell r="A16">
            <v>45670</v>
          </cell>
          <cell r="E16" t="str">
            <v>Оганов А.С.7272</v>
          </cell>
          <cell r="J16">
            <v>5000</v>
          </cell>
        </row>
        <row r="17">
          <cell r="A17">
            <v>45681</v>
          </cell>
          <cell r="E17" t="str">
            <v>Оганов А.С.7272</v>
          </cell>
          <cell r="J17">
            <v>5000</v>
          </cell>
        </row>
        <row r="18">
          <cell r="A18">
            <v>45692</v>
          </cell>
          <cell r="E18" t="str">
            <v>Оганов А.С.1505</v>
          </cell>
          <cell r="J18">
            <v>5000</v>
          </cell>
        </row>
        <row r="19">
          <cell r="A19">
            <v>45705</v>
          </cell>
          <cell r="E19" t="str">
            <v>Оганов А.С.2602</v>
          </cell>
          <cell r="J19">
            <v>5000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Запрос1"/>
      <sheetName val="Лист1"/>
    </sheetNames>
    <sheetDataSet>
      <sheetData sheetId="0">
        <row r="2">
          <cell r="A2">
            <v>46030</v>
          </cell>
          <cell r="E2" t="str">
            <v>Виктория 2502</v>
          </cell>
          <cell r="I2">
            <v>500</v>
          </cell>
        </row>
        <row r="3">
          <cell r="A3">
            <v>46032</v>
          </cell>
          <cell r="E3" t="str">
            <v>Екатерина 2201</v>
          </cell>
          <cell r="I3">
            <v>250</v>
          </cell>
        </row>
        <row r="4">
          <cell r="A4">
            <v>46032</v>
          </cell>
          <cell r="E4" t="str">
            <v>Екатерина 2201</v>
          </cell>
          <cell r="I4">
            <v>150</v>
          </cell>
        </row>
        <row r="5">
          <cell r="A5">
            <v>46034</v>
          </cell>
          <cell r="E5" t="str">
            <v>Виктория 2502</v>
          </cell>
          <cell r="I5">
            <v>350</v>
          </cell>
        </row>
        <row r="6">
          <cell r="A6">
            <v>46043</v>
          </cell>
          <cell r="E6" t="str">
            <v>Виктория 2502</v>
          </cell>
          <cell r="I6">
            <v>350</v>
          </cell>
        </row>
        <row r="7">
          <cell r="A7">
            <v>46045</v>
          </cell>
          <cell r="E7" t="str">
            <v>Екатерина 2201</v>
          </cell>
          <cell r="I7">
            <v>300</v>
          </cell>
        </row>
        <row r="8">
          <cell r="A8">
            <v>46052</v>
          </cell>
          <cell r="E8" t="str">
            <v>Екатерина 2201</v>
          </cell>
          <cell r="I8">
            <v>300</v>
          </cell>
        </row>
        <row r="9">
          <cell r="A9">
            <v>46036</v>
          </cell>
          <cell r="E9" t="str">
            <v>Екатерина 2201</v>
          </cell>
          <cell r="I9">
            <v>250</v>
          </cell>
        </row>
        <row r="10">
          <cell r="A10">
            <v>46030</v>
          </cell>
          <cell r="E10" t="str">
            <v>Виктория 2502</v>
          </cell>
          <cell r="I10">
            <v>250</v>
          </cell>
        </row>
        <row r="11">
          <cell r="A11">
            <v>46034</v>
          </cell>
          <cell r="E11" t="str">
            <v>Виктория 2502</v>
          </cell>
          <cell r="I11">
            <v>250</v>
          </cell>
        </row>
        <row r="12">
          <cell r="A12">
            <v>46038</v>
          </cell>
          <cell r="E12" t="str">
            <v>Виктория 2502</v>
          </cell>
          <cell r="I12">
            <v>500</v>
          </cell>
        </row>
        <row r="13">
          <cell r="A13">
            <v>46032</v>
          </cell>
          <cell r="E13" t="str">
            <v>Екатерина 2201</v>
          </cell>
          <cell r="I13">
            <v>700</v>
          </cell>
        </row>
        <row r="14">
          <cell r="A14">
            <v>46034</v>
          </cell>
          <cell r="E14" t="str">
            <v>Виктория 2502</v>
          </cell>
          <cell r="I14">
            <v>150</v>
          </cell>
        </row>
        <row r="15">
          <cell r="A15">
            <v>46038</v>
          </cell>
          <cell r="E15" t="str">
            <v>Виктория 2502</v>
          </cell>
          <cell r="I15">
            <v>300</v>
          </cell>
        </row>
        <row r="16">
          <cell r="A16">
            <v>46032</v>
          </cell>
          <cell r="E16" t="str">
            <v>Екатерина 2201</v>
          </cell>
          <cell r="I16">
            <v>500</v>
          </cell>
        </row>
        <row r="17">
          <cell r="A17">
            <v>46032</v>
          </cell>
          <cell r="E17" t="str">
            <v>Екатерина 2201</v>
          </cell>
          <cell r="I17">
            <v>700</v>
          </cell>
        </row>
        <row r="18">
          <cell r="A18">
            <v>46041</v>
          </cell>
          <cell r="E18" t="str">
            <v>Екатерина 2201</v>
          </cell>
          <cell r="I18">
            <v>377</v>
          </cell>
        </row>
        <row r="19">
          <cell r="A19">
            <v>46030</v>
          </cell>
          <cell r="E19" t="str">
            <v>Виктория 2502</v>
          </cell>
          <cell r="I19">
            <v>250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424F-6837-49D6-8B95-AF79C4CD61A2}">
  <sheetPr codeName="Лист1">
    <pageSetUpPr fitToPage="1"/>
  </sheetPr>
  <dimension ref="A1:DB63"/>
  <sheetViews>
    <sheetView tabSelected="1"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G7" sqref="AG7"/>
    </sheetView>
  </sheetViews>
  <sheetFormatPr defaultColWidth="12.42578125" defaultRowHeight="15.75" x14ac:dyDescent="0.25"/>
  <cols>
    <col min="1" max="1" width="19" style="1" customWidth="1"/>
    <col min="2" max="2" width="4.28515625" style="1" customWidth="1"/>
    <col min="3" max="19" width="4.140625" style="1" customWidth="1"/>
    <col min="20" max="20" width="4.28515625" style="1" customWidth="1"/>
    <col min="21" max="39" width="4.140625" style="1" customWidth="1"/>
    <col min="40" max="40" width="8.42578125" style="62" customWidth="1"/>
    <col min="41" max="105" width="4.140625" style="1" customWidth="1"/>
    <col min="106" max="107" width="12.42578125" style="1" customWidth="1"/>
    <col min="108" max="16384" width="12.42578125" style="1"/>
  </cols>
  <sheetData>
    <row r="1" spans="1:106" ht="20.100000000000001" customHeight="1" thickBot="1" x14ac:dyDescent="0.3">
      <c r="A1" s="1" t="s">
        <v>0</v>
      </c>
      <c r="B1" s="2">
        <v>46023.000011574077</v>
      </c>
      <c r="C1" s="3">
        <v>1</v>
      </c>
      <c r="D1" s="4">
        <v>2</v>
      </c>
      <c r="E1" s="65">
        <v>3</v>
      </c>
      <c r="F1" s="66">
        <v>4</v>
      </c>
      <c r="G1" s="3">
        <v>5</v>
      </c>
      <c r="H1" s="4">
        <v>6</v>
      </c>
      <c r="I1" s="3">
        <v>7</v>
      </c>
      <c r="J1" s="4">
        <v>8</v>
      </c>
      <c r="K1" s="3">
        <v>9</v>
      </c>
      <c r="L1" s="65">
        <v>10</v>
      </c>
      <c r="M1" s="66">
        <v>11</v>
      </c>
      <c r="N1" s="3">
        <v>12</v>
      </c>
      <c r="O1" s="4">
        <v>13</v>
      </c>
      <c r="P1" s="3">
        <v>14</v>
      </c>
      <c r="Q1" s="4">
        <v>15</v>
      </c>
      <c r="R1" s="3">
        <v>16</v>
      </c>
      <c r="S1" s="65">
        <v>17</v>
      </c>
      <c r="T1" s="66">
        <v>18</v>
      </c>
      <c r="U1" s="3">
        <v>19</v>
      </c>
      <c r="V1" s="4">
        <v>20</v>
      </c>
      <c r="W1" s="3">
        <v>21</v>
      </c>
      <c r="X1" s="4">
        <v>22</v>
      </c>
      <c r="Y1" s="3">
        <v>23</v>
      </c>
      <c r="Z1" s="65">
        <v>24</v>
      </c>
      <c r="AA1" s="66">
        <v>25</v>
      </c>
      <c r="AB1" s="3">
        <v>26</v>
      </c>
      <c r="AC1" s="4">
        <v>27</v>
      </c>
      <c r="AD1" s="3">
        <v>28</v>
      </c>
      <c r="AE1" s="4">
        <v>29</v>
      </c>
      <c r="AF1" s="3">
        <v>30</v>
      </c>
      <c r="AG1" s="66">
        <v>31</v>
      </c>
      <c r="AH1" s="176" t="s">
        <v>1</v>
      </c>
      <c r="AI1" s="83"/>
      <c r="AJ1" s="83"/>
      <c r="AK1" s="84"/>
      <c r="AL1" s="177" t="s">
        <v>2</v>
      </c>
      <c r="AM1" s="178"/>
      <c r="AN1" s="176"/>
      <c r="AO1" s="126" t="s">
        <v>3</v>
      </c>
      <c r="AP1" s="83"/>
      <c r="AQ1" s="83"/>
      <c r="AR1" s="83"/>
      <c r="AS1" s="83"/>
      <c r="AT1" s="84"/>
      <c r="AU1" s="126" t="s">
        <v>4</v>
      </c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4"/>
      <c r="CU1" s="179" t="s">
        <v>5</v>
      </c>
      <c r="CV1" s="180"/>
      <c r="CW1" s="181"/>
    </row>
    <row r="2" spans="1:106" ht="20.100000000000001" customHeight="1" thickBot="1" x14ac:dyDescent="0.3">
      <c r="A2" s="1" t="s">
        <v>0</v>
      </c>
      <c r="B2" s="5">
        <v>46053.999305555553</v>
      </c>
      <c r="C2" s="6" t="s">
        <v>9</v>
      </c>
      <c r="D2" s="7" t="s">
        <v>10</v>
      </c>
      <c r="E2" s="67" t="s">
        <v>11</v>
      </c>
      <c r="F2" s="68" t="s">
        <v>12</v>
      </c>
      <c r="G2" s="6" t="s">
        <v>6</v>
      </c>
      <c r="H2" s="7" t="s">
        <v>7</v>
      </c>
      <c r="I2" s="6" t="s">
        <v>8</v>
      </c>
      <c r="J2" s="7" t="s">
        <v>9</v>
      </c>
      <c r="K2" s="6" t="s">
        <v>10</v>
      </c>
      <c r="L2" s="67" t="s">
        <v>11</v>
      </c>
      <c r="M2" s="68" t="s">
        <v>12</v>
      </c>
      <c r="N2" s="6" t="s">
        <v>6</v>
      </c>
      <c r="O2" s="7" t="s">
        <v>7</v>
      </c>
      <c r="P2" s="6" t="s">
        <v>8</v>
      </c>
      <c r="Q2" s="7" t="s">
        <v>9</v>
      </c>
      <c r="R2" s="6" t="s">
        <v>10</v>
      </c>
      <c r="S2" s="67" t="s">
        <v>11</v>
      </c>
      <c r="T2" s="68" t="s">
        <v>12</v>
      </c>
      <c r="U2" s="6" t="s">
        <v>6</v>
      </c>
      <c r="V2" s="7" t="s">
        <v>7</v>
      </c>
      <c r="W2" s="6" t="s">
        <v>8</v>
      </c>
      <c r="X2" s="7" t="s">
        <v>9</v>
      </c>
      <c r="Y2" s="6" t="s">
        <v>10</v>
      </c>
      <c r="Z2" s="67" t="s">
        <v>11</v>
      </c>
      <c r="AA2" s="68" t="s">
        <v>12</v>
      </c>
      <c r="AB2" s="6" t="s">
        <v>6</v>
      </c>
      <c r="AC2" s="7" t="s">
        <v>7</v>
      </c>
      <c r="AD2" s="6" t="s">
        <v>8</v>
      </c>
      <c r="AE2" s="7" t="s">
        <v>9</v>
      </c>
      <c r="AF2" s="6" t="s">
        <v>10</v>
      </c>
      <c r="AG2" s="68" t="s">
        <v>11</v>
      </c>
      <c r="AH2" s="185" t="s">
        <v>13</v>
      </c>
      <c r="AI2" s="181"/>
      <c r="AJ2" s="186" t="s">
        <v>14</v>
      </c>
      <c r="AK2" s="181"/>
      <c r="AL2" s="8" t="s">
        <v>15</v>
      </c>
      <c r="AM2" s="8" t="s">
        <v>16</v>
      </c>
      <c r="AN2" s="8" t="s">
        <v>17</v>
      </c>
      <c r="AO2" s="186" t="s">
        <v>18</v>
      </c>
      <c r="AP2" s="181"/>
      <c r="AQ2" s="186" t="s">
        <v>19</v>
      </c>
      <c r="AR2" s="181"/>
      <c r="AS2" s="187" t="s">
        <v>20</v>
      </c>
      <c r="AT2" s="87"/>
      <c r="AU2" s="189" t="s">
        <v>21</v>
      </c>
      <c r="AV2" s="190"/>
      <c r="AW2" s="190"/>
      <c r="AX2" s="190"/>
      <c r="AY2" s="189" t="s">
        <v>22</v>
      </c>
      <c r="AZ2" s="190"/>
      <c r="BA2" s="190"/>
      <c r="BB2" s="190"/>
      <c r="BC2" s="189" t="s">
        <v>23</v>
      </c>
      <c r="BD2" s="190"/>
      <c r="BE2" s="190"/>
      <c r="BF2" s="190"/>
      <c r="BG2" s="189" t="s">
        <v>24</v>
      </c>
      <c r="BH2" s="190"/>
      <c r="BI2" s="190"/>
      <c r="BJ2" s="190"/>
      <c r="BK2" s="189" t="s">
        <v>25</v>
      </c>
      <c r="BL2" s="190"/>
      <c r="BM2" s="190"/>
      <c r="BN2" s="190"/>
      <c r="BO2" s="189" t="s">
        <v>26</v>
      </c>
      <c r="BP2" s="190"/>
      <c r="BQ2" s="190"/>
      <c r="BR2" s="190"/>
      <c r="BS2" s="189" t="s">
        <v>27</v>
      </c>
      <c r="BT2" s="190"/>
      <c r="BU2" s="190"/>
      <c r="BV2" s="190"/>
      <c r="BW2" s="189" t="s">
        <v>28</v>
      </c>
      <c r="BX2" s="190"/>
      <c r="BY2" s="190"/>
      <c r="BZ2" s="190"/>
      <c r="CA2" s="189" t="s">
        <v>29</v>
      </c>
      <c r="CB2" s="190"/>
      <c r="CC2" s="190"/>
      <c r="CD2" s="191"/>
      <c r="CE2" s="192" t="s">
        <v>30</v>
      </c>
      <c r="CF2" s="193"/>
      <c r="CG2" s="193"/>
      <c r="CH2" s="194"/>
      <c r="CI2" s="195" t="s">
        <v>31</v>
      </c>
      <c r="CJ2" s="183"/>
      <c r="CK2" s="183"/>
      <c r="CL2" s="183"/>
      <c r="CM2" s="196" t="s">
        <v>32</v>
      </c>
      <c r="CN2" s="183"/>
      <c r="CO2" s="183"/>
      <c r="CP2" s="183"/>
      <c r="CQ2" s="188" t="s">
        <v>33</v>
      </c>
      <c r="CR2" s="183"/>
      <c r="CS2" s="183"/>
      <c r="CT2" s="184"/>
      <c r="CU2" s="182"/>
      <c r="CV2" s="183"/>
      <c r="CW2" s="184"/>
    </row>
    <row r="3" spans="1:106" ht="20.100000000000001" customHeight="1" thickBot="1" x14ac:dyDescent="0.3">
      <c r="A3" s="9" t="s">
        <v>51</v>
      </c>
      <c r="B3" s="10"/>
      <c r="C3" s="69"/>
      <c r="D3" s="70"/>
      <c r="E3" s="70"/>
      <c r="F3" s="70"/>
      <c r="G3" s="11" t="s">
        <v>34</v>
      </c>
      <c r="H3" s="11" t="s">
        <v>34</v>
      </c>
      <c r="I3" s="11"/>
      <c r="J3" s="11"/>
      <c r="K3" s="11" t="s">
        <v>34</v>
      </c>
      <c r="L3" s="11" t="s">
        <v>34</v>
      </c>
      <c r="M3" s="11"/>
      <c r="N3" s="11"/>
      <c r="O3" s="11" t="s">
        <v>34</v>
      </c>
      <c r="P3" s="11" t="s">
        <v>34</v>
      </c>
      <c r="Q3" s="11"/>
      <c r="R3" s="11"/>
      <c r="S3" s="11" t="s">
        <v>34</v>
      </c>
      <c r="T3" s="11" t="s">
        <v>34</v>
      </c>
      <c r="U3" s="11"/>
      <c r="V3" s="11"/>
      <c r="W3" s="11" t="s">
        <v>34</v>
      </c>
      <c r="X3" s="11" t="s">
        <v>34</v>
      </c>
      <c r="Y3" s="11"/>
      <c r="Z3" s="11"/>
      <c r="AA3" s="11" t="s">
        <v>34</v>
      </c>
      <c r="AB3" s="11" t="s">
        <v>34</v>
      </c>
      <c r="AC3" s="11"/>
      <c r="AD3" s="11"/>
      <c r="AE3" s="11" t="s">
        <v>34</v>
      </c>
      <c r="AF3" s="11" t="s">
        <v>34</v>
      </c>
      <c r="AG3" s="64"/>
      <c r="AH3" s="154">
        <v>3500</v>
      </c>
      <c r="AI3" s="101"/>
      <c r="AJ3" s="101">
        <v>4000</v>
      </c>
      <c r="AK3" s="171"/>
      <c r="AL3" s="12">
        <v>0</v>
      </c>
      <c r="AM3" s="13">
        <v>0</v>
      </c>
      <c r="AN3" s="14">
        <v>0</v>
      </c>
      <c r="AO3" s="172">
        <f t="shared" ref="AO3:AO17" si="0">AS3-AQ3</f>
        <v>14</v>
      </c>
      <c r="AP3" s="142"/>
      <c r="AQ3" s="173">
        <f t="shared" ref="AQ3:AQ17" si="1">IF(AS3&gt;15, AS3-15, 0)</f>
        <v>0</v>
      </c>
      <c r="AR3" s="142"/>
      <c r="AS3" s="174">
        <f t="shared" ref="AS3:AS7" si="2">COUNTIF(C3:AG3, "М")+COUNTIF(C3:AG3, "Ц")+COUNTIF(C3:AG3, "П")+COUNTIF(C3:AG3, "Ох")+COUNTIF(C3:AG3, "Оз")+COUNTIF(C3:AG3, "А")+COUNTIF(C3:AG3, "Р")+(COUNTIF(C3:AG3, "05М")/2)+(COUNTIF(C3:AG3, "05Ц")/2)+(COUNTIF(C3:AG3, "05П")/2)+(COUNTIF(C3:AG3, "05Ох")/2)+(COUNTIF(C3:AG3, "05Оз")/2)+(COUNTIF(C3:AG3, "05А")/2)+(COUNTIF(C3:AG3, "05Р")/2)</f>
        <v>14</v>
      </c>
      <c r="AT3" s="170"/>
      <c r="AU3" s="175">
        <f>AO3*AH3+AQ3*AJ3</f>
        <v>49000</v>
      </c>
      <c r="AV3" s="142"/>
      <c r="AW3" s="142"/>
      <c r="AX3" s="170"/>
      <c r="AY3" s="141" cm="1">
        <f t="array" ref="AY3">SUMPRODUCT(
(RIGHT([1]Запрос1!$D$2:$D$43198,4)=RIGHT(A3,4))*
([1]Запрос1!$A$2:$A$43198&gt;=$B$1)*
([1]Запрос1!$A$2:$A$43198&lt;=$B$2)*
[1]Запрос1!$F$2:$F$43198)*AL3</f>
        <v>0</v>
      </c>
      <c r="AZ3" s="142"/>
      <c r="BA3" s="142"/>
      <c r="BB3" s="142"/>
      <c r="BC3" s="101" cm="1">
        <f t="array" ref="BC3">SUMPRODUCT(
  (RIGHT([2]Запрос1!$E$2:$E$2465,4) = RIGHT(A3,4)) *
  ([2]Запрос1!$A$2:$A$2465 &gt;= $B$1) *
  ([2]Запрос1!$A$2:$A$2465 &lt;= $B$2) *
[2]Запрос1!$I$2:$I$2465
)*AM3</f>
        <v>0</v>
      </c>
      <c r="BD3" s="142"/>
      <c r="BE3" s="142"/>
      <c r="BF3" s="142"/>
      <c r="BG3" s="143" cm="1">
        <f t="array" ref="BG3">SUMPRODUCT(
    --(RIGHT([3]Запрос1!$C$2:$C$5232,4) = RIGHT(A3,4)),
    --([3]Запрос1!$E$2:$E$5232 &gt;= $B$1),
    --([3]Запрос1!$E$2:$E$5232 &lt;= $B$2)
)*AN3</f>
        <v>0</v>
      </c>
      <c r="BH3" s="143"/>
      <c r="BI3" s="143"/>
      <c r="BJ3" s="143"/>
      <c r="BK3" s="101" cm="1">
        <f t="array" ref="BK3">SUMPRODUCT(
(RIGHT([4]Запрос1!$E$2:$E$5389,4)=RIGHT(A3,4))*
([4]Запрос1!$A$2:$A$5389&gt;=$B$1)*
([4]Запрос1!$A$2:$A$5389&lt;=$B$2)*
[4]Запрос1!$J$2:$J$5389
)*0.01</f>
        <v>0</v>
      </c>
      <c r="BL3" s="142"/>
      <c r="BM3" s="142"/>
      <c r="BN3" s="142"/>
      <c r="BO3" s="101">
        <v>0</v>
      </c>
      <c r="BP3" s="142"/>
      <c r="BQ3" s="142"/>
      <c r="BR3" s="142"/>
      <c r="BS3" s="101"/>
      <c r="BT3" s="142"/>
      <c r="BU3" s="142"/>
      <c r="BV3" s="142"/>
      <c r="BW3" s="101">
        <f>IF(AND(C3="Ц",COUNTIF($C$3:$C$21,"Ц")=1),1000,0) +
IF(AND(D3="Ц",COUNTIF($D$3:$D$21,"Ц")=1),1000,0) +
IF(AND(E3="Ц",COUNTIF($E$3:$E$21,"Ц")=1),1000,0) +
IF(AND(F3="Ц",COUNTIF($F$3:$F$21,"Ц")=1),1000,0) +
IF(AND(G3="Ц",COUNTIF($G$3:$G$21,"Ц")=1),1000,0) +
IF(AND(H3="Ц",COUNTIF($H$3:$H$21,"Ц")=1),1000,0) +
IF(AND(I3="Ц",COUNTIF($I$3:$I$21,"Ц")=1),1000,0) +
IF(AND(J3="Ц",COUNTIF($J$3:$J$21,"Ц")=1),1000,0) +
IF(AND(K3="Ц",COUNTIF($K$3:$K$21,"Ц")=1),1000,0) +
IF(AND(L3="Ц",COUNTIF($L$3:$L$21,"Ц")=1),1000,0) +
IF(AND(M3="Ц",COUNTIF($M$3:$M$21,"Ц")=1),1000,0) +
IF(AND(N3="Ц",COUNTIF($N$3:$N$21,"Ц")=1),1000,0) +
IF(AND(O3="Ц",COUNTIF($O$3:$O$21,"Ц")=1),1000,0) +
IF(AND(P3="Ц",COUNTIF($P$3:$P$21,"Ц")=1),1000,0) +
IF(AND(Q3="Ц",COUNTIF($Q$3:$Q$21,"Ц")=1),1000,0) +
IF(AND(R3="Ц",COUNTIF($R$3:$R$21,"Ц")=1),1000,0) +
IF(AND(S3="Ц",COUNTIF($S$3:$S$21,"Ц")=1),1000,0) +
IF(AND(T3="Ц",COUNTIF($T$3:$T$21,"Ц")=1),1000,0) +
IF(AND(U3="Ц",COUNTIF($U$3:$U$21,"Ц")=1),1000,0) +
IF(AND(V3="Ц",COUNTIF($V$3:$V$21,"Ц")=1),1000,0) +
IF(AND(W3="Ц",COUNTIF($W$3:$W$21,"Ц")=1),1000,0) +
IF(AND(X3="Ц",COUNTIF($X$3:$X$21,"Ц")=1),1000,0) +
IF(AND(Y3="Ц",COUNTIF($Y$3:$Y$21,"Ц")=1),1000,0) +
IF(AND(Z3="Ц",COUNTIF($Z$3:$Z$21,"Ц")=1),1000,0) +
IF(AND(AA3="Ц",COUNTIF($AA$3:$AA$21,"Ц")=1),1000,0) +
IF(AND(AB3="Ц",COUNTIF($AB$3:$AB$21,"Ц")=1),1000,0) +
IF(AND(AC3="Ц",COUNTIF($AC$3:$AC$21,"Ц")=1),1000,0) +
IF(AND(AD3="Ц",COUNTIF($AD$3:$AD$21,"Ц")=1),1000,0) +
IF(AND(AE3="Ц",COUNTIF($AE$3:$AE$21,"Ц")=1),1000,0) +
IF(AND(AF3="Ц",COUNTIF($AF$3:$AF$21,"Ц")=1),1000,0) +
IF(AND(AG3="Ц",COUNTIF($AG$3:$AG$21,"Ц")=1),1000,0)</f>
        <v>14000</v>
      </c>
      <c r="BX3" s="142"/>
      <c r="BY3" s="142"/>
      <c r="BZ3" s="142"/>
      <c r="CA3" s="101"/>
      <c r="CB3" s="142"/>
      <c r="CC3" s="142"/>
      <c r="CD3" s="170"/>
      <c r="CE3" s="169">
        <f>SUM(AU3:CD3)</f>
        <v>63000</v>
      </c>
      <c r="CF3" s="142"/>
      <c r="CG3" s="142"/>
      <c r="CH3" s="142"/>
      <c r="CI3" s="101"/>
      <c r="CJ3" s="142"/>
      <c r="CK3" s="142"/>
      <c r="CL3" s="142"/>
      <c r="CM3" s="101"/>
      <c r="CN3" s="142"/>
      <c r="CO3" s="142"/>
      <c r="CP3" s="168"/>
      <c r="CQ3" s="154">
        <f>(AU3+SUM(AY3:CD3))-SUM(CI3:CP3)</f>
        <v>63000</v>
      </c>
      <c r="CR3" s="99"/>
      <c r="CS3" s="99"/>
      <c r="CT3" s="100"/>
      <c r="CU3" s="169">
        <f t="shared" ref="CU3:CU17" si="3">AJ3*AQ3-AH3*AQ3</f>
        <v>0</v>
      </c>
      <c r="CV3" s="99"/>
      <c r="CW3" s="125"/>
    </row>
    <row r="4" spans="1:106" ht="20.100000000000001" customHeight="1" thickBot="1" x14ac:dyDescent="0.3">
      <c r="A4" s="15" t="s">
        <v>35</v>
      </c>
      <c r="B4" s="10"/>
      <c r="C4" s="71"/>
      <c r="D4" s="72"/>
      <c r="E4" s="72"/>
      <c r="F4" s="72"/>
      <c r="G4" s="17"/>
      <c r="H4" s="17"/>
      <c r="I4" s="17" t="s">
        <v>34</v>
      </c>
      <c r="J4" s="17" t="s">
        <v>34</v>
      </c>
      <c r="K4" s="17"/>
      <c r="L4" s="17"/>
      <c r="M4" s="17" t="s">
        <v>34</v>
      </c>
      <c r="N4" s="17" t="s">
        <v>34</v>
      </c>
      <c r="O4" s="17"/>
      <c r="P4" s="17"/>
      <c r="Q4" s="17" t="s">
        <v>34</v>
      </c>
      <c r="R4" s="17" t="s">
        <v>34</v>
      </c>
      <c r="S4" s="17"/>
      <c r="T4" s="17"/>
      <c r="U4" s="17" t="s">
        <v>34</v>
      </c>
      <c r="V4" s="17" t="s">
        <v>34</v>
      </c>
      <c r="W4" s="17"/>
      <c r="X4" s="17"/>
      <c r="Y4" s="17" t="s">
        <v>34</v>
      </c>
      <c r="Z4" s="17" t="s">
        <v>34</v>
      </c>
      <c r="AA4" s="17"/>
      <c r="AB4" s="17"/>
      <c r="AC4" s="17" t="s">
        <v>34</v>
      </c>
      <c r="AD4" s="17" t="s">
        <v>34</v>
      </c>
      <c r="AE4" s="17"/>
      <c r="AF4" s="17"/>
      <c r="AG4" s="25" t="s">
        <v>34</v>
      </c>
      <c r="AH4" s="158">
        <v>3500</v>
      </c>
      <c r="AI4" s="152"/>
      <c r="AJ4" s="152">
        <v>4000</v>
      </c>
      <c r="AK4" s="159"/>
      <c r="AL4" s="18">
        <v>0</v>
      </c>
      <c r="AM4" s="19">
        <v>0</v>
      </c>
      <c r="AN4" s="20">
        <v>0</v>
      </c>
      <c r="AO4" s="160">
        <f t="shared" si="0"/>
        <v>13</v>
      </c>
      <c r="AP4" s="146"/>
      <c r="AQ4" s="161">
        <f t="shared" si="1"/>
        <v>0</v>
      </c>
      <c r="AR4" s="146"/>
      <c r="AS4" s="166">
        <f t="shared" si="2"/>
        <v>13</v>
      </c>
      <c r="AT4" s="147"/>
      <c r="AU4" s="162">
        <f t="shared" ref="AU4:AU21" si="4">AO4*AH4+AQ4*AJ4</f>
        <v>45500</v>
      </c>
      <c r="AV4" s="146"/>
      <c r="AW4" s="146"/>
      <c r="AX4" s="147"/>
      <c r="AY4" s="141" cm="1">
        <f t="array" ref="AY4">SUMPRODUCT(
(RIGHT([1]Запрос1!$D$2:$D$43198,4)=RIGHT(A4,4))*
([1]Запрос1!$A$2:$A$43198&gt;=$B$1)*
([1]Запрос1!$A$2:$A$43198&lt;=$B$2)*
[1]Запрос1!$F$2:$F$43198)*AL4</f>
        <v>0</v>
      </c>
      <c r="AZ4" s="142"/>
      <c r="BA4" s="142"/>
      <c r="BB4" s="142"/>
      <c r="BC4" s="101" cm="1">
        <f t="array" ref="BC4">SUMPRODUCT(
  (RIGHT([2]Запрос1!$E$2:$E$2465,4) = RIGHT(A4,4)) *
  ([2]Запрос1!$A$2:$A$2465 &gt;= $B$1) *
  ([2]Запрос1!$A$2:$A$2465 &lt;= $B$2) *
[2]Запрос1!$I$2:$I$2465
)*AM4</f>
        <v>0</v>
      </c>
      <c r="BD4" s="142"/>
      <c r="BE4" s="142"/>
      <c r="BF4" s="142"/>
      <c r="BG4" s="143" cm="1">
        <f t="array" ref="BG4">SUMPRODUCT(
    --(RIGHT([3]Запрос1!$C$2:$C$5232,4) = RIGHT(A4,4)),
    --([3]Запрос1!$E$2:$E$5232 &gt;= $B$1),
    --([3]Запрос1!$E$2:$E$5232 &lt;= $B$2)
)*AN4</f>
        <v>0</v>
      </c>
      <c r="BH4" s="143"/>
      <c r="BI4" s="143"/>
      <c r="BJ4" s="143"/>
      <c r="BK4" s="101" cm="1">
        <f t="array" ref="BK4">SUMPRODUCT(
(RIGHT([4]Запрос1!$E$2:$E$5389,4)=RIGHT(A4,4))*
([4]Запрос1!$A$2:$A$5389&gt;=$B$1)*
([4]Запрос1!$A$2:$A$5389&lt;=$B$2)*
[4]Запрос1!$J$2:$J$5389
)*0.01</f>
        <v>0</v>
      </c>
      <c r="BL4" s="142"/>
      <c r="BM4" s="142"/>
      <c r="BN4" s="142"/>
      <c r="BO4" s="101" cm="1">
        <f t="array" ref="BO4">SUMPRODUCT(
  (RIGHT([5]Запрос1!$E$2:$E$5270,4) = RIGHT(A4,4)) *
  ([5]Запрос1!$A$2:$A$5270 &gt;= $B$1) *
  ([5]Запрос1!$A$2:$A$5270 &lt;= $B$2) *
[5]Запрос1!$I$2:$I$5270
)*0.25</f>
        <v>0</v>
      </c>
      <c r="BP4" s="142"/>
      <c r="BQ4" s="142"/>
      <c r="BR4" s="142"/>
      <c r="BS4" s="97"/>
      <c r="BT4" s="146"/>
      <c r="BU4" s="146"/>
      <c r="BV4" s="146"/>
      <c r="BW4" s="101">
        <f t="shared" ref="BW4:BW14" si="5">IF(AND(C4="Ц",COUNTIF($C$3:$C$21,"Ц")=1),1000,0) +
IF(AND(D4="Ц",COUNTIF($D$3:$D$21,"Ц")=1),1000,0) +
IF(AND(E4="Ц",COUNTIF($E$3:$E$21,"Ц")=1),1000,0) +
IF(AND(F4="Ц",COUNTIF($F$3:$F$21,"Ц")=1),1000,0) +
IF(AND(G4="Ц",COUNTIF($G$3:$G$21,"Ц")=1),1000,0) +
IF(AND(H4="Ц",COUNTIF($H$3:$H$21,"Ц")=1),1000,0) +
IF(AND(I4="Ц",COUNTIF($I$3:$I$21,"Ц")=1),1000,0) +
IF(AND(J4="Ц",COUNTIF($J$3:$J$21,"Ц")=1),1000,0) +
IF(AND(K4="Ц",COUNTIF($K$3:$K$21,"Ц")=1),1000,0) +
IF(AND(L4="Ц",COUNTIF($L$3:$L$21,"Ц")=1),1000,0) +
IF(AND(M4="Ц",COUNTIF($M$3:$M$21,"Ц")=1),1000,0) +
IF(AND(N4="Ц",COUNTIF($N$3:$N$21,"Ц")=1),1000,0) +
IF(AND(O4="Ц",COUNTIF($O$3:$O$21,"Ц")=1),1000,0) +
IF(AND(P4="Ц",COUNTIF($P$3:$P$21,"Ц")=1),1000,0) +
IF(AND(Q4="Ц",COUNTIF($Q$3:$Q$21,"Ц")=1),1000,0) +
IF(AND(R4="Ц",COUNTIF($R$3:$R$21,"Ц")=1),1000,0) +
IF(AND(S4="Ц",COUNTIF($S$3:$S$21,"Ц")=1),1000,0) +
IF(AND(T4="Ц",COUNTIF($T$3:$T$21,"Ц")=1),1000,0) +
IF(AND(U4="Ц",COUNTIF($U$3:$U$21,"Ц")=1),1000,0) +
IF(AND(V4="Ц",COUNTIF($V$3:$V$21,"Ц")=1),1000,0) +
IF(AND(W4="Ц",COUNTIF($W$3:$W$21,"Ц")=1),1000,0) +
IF(AND(X4="Ц",COUNTIF($X$3:$X$21,"Ц")=1),1000,0) +
IF(AND(Y4="Ц",COUNTIF($Y$3:$Y$21,"Ц")=1),1000,0) +
IF(AND(Z4="Ц",COUNTIF($Z$3:$Z$21,"Ц")=1),1000,0) +
IF(AND(AA4="Ц",COUNTIF($AA$3:$AA$21,"Ц")=1),1000,0) +
IF(AND(AB4="Ц",COUNTIF($AB$3:$AB$21,"Ц")=1),1000,0) +
IF(AND(AC4="Ц",COUNTIF($AC$3:$AC$21,"Ц")=1),1000,0) +
IF(AND(AD4="Ц",COUNTIF($AD$3:$AD$21,"Ц")=1),1000,0) +
IF(AND(AE4="Ц",COUNTIF($AE$3:$AE$21,"Ц")=1),1000,0) +
IF(AND(AF4="Ц",COUNTIF($AF$3:$AF$21,"Ц")=1),1000,0) +
IF(AND(AG4="Ц",COUNTIF($AG$3:$AG$21,"Ц")=1),1000,0)</f>
        <v>13000</v>
      </c>
      <c r="BX4" s="142"/>
      <c r="BY4" s="142"/>
      <c r="BZ4" s="142"/>
      <c r="CA4" s="97"/>
      <c r="CB4" s="146"/>
      <c r="CC4" s="146"/>
      <c r="CD4" s="147"/>
      <c r="CE4" s="148">
        <f t="shared" ref="CE4:CE21" si="6">SUM(AU4:CD4)</f>
        <v>58500</v>
      </c>
      <c r="CF4" s="146"/>
      <c r="CG4" s="146"/>
      <c r="CH4" s="146"/>
      <c r="CI4" s="97"/>
      <c r="CJ4" s="146"/>
      <c r="CK4" s="146"/>
      <c r="CL4" s="146"/>
      <c r="CM4" s="152"/>
      <c r="CN4" s="146"/>
      <c r="CO4" s="146"/>
      <c r="CP4" s="153"/>
      <c r="CQ4" s="154">
        <f>(AU4+SUM(AY4:CD4))-SUM(CI4:CP4)</f>
        <v>58500</v>
      </c>
      <c r="CR4" s="99"/>
      <c r="CS4" s="99"/>
      <c r="CT4" s="100"/>
      <c r="CU4" s="165">
        <f t="shared" si="3"/>
        <v>0</v>
      </c>
      <c r="CV4" s="93"/>
      <c r="CW4" s="106"/>
    </row>
    <row r="5" spans="1:106" ht="20.100000000000001" customHeight="1" thickBot="1" x14ac:dyDescent="0.3">
      <c r="A5" s="15" t="s">
        <v>36</v>
      </c>
      <c r="B5" s="10"/>
      <c r="C5" s="71"/>
      <c r="D5" s="17"/>
      <c r="E5" s="17"/>
      <c r="F5" s="17"/>
      <c r="G5" s="17" t="s">
        <v>37</v>
      </c>
      <c r="H5" s="17" t="s">
        <v>37</v>
      </c>
      <c r="I5" s="17" t="s">
        <v>37</v>
      </c>
      <c r="J5" s="17"/>
      <c r="K5" s="17"/>
      <c r="L5" s="17"/>
      <c r="M5" s="17" t="s">
        <v>37</v>
      </c>
      <c r="N5" s="17" t="s">
        <v>37</v>
      </c>
      <c r="O5" s="17" t="s">
        <v>37</v>
      </c>
      <c r="P5" s="17"/>
      <c r="Q5" s="17"/>
      <c r="R5" s="17"/>
      <c r="S5" s="17" t="s">
        <v>37</v>
      </c>
      <c r="T5" s="17" t="s">
        <v>37</v>
      </c>
      <c r="U5" s="17" t="s">
        <v>37</v>
      </c>
      <c r="V5" s="17"/>
      <c r="W5" s="17"/>
      <c r="X5" s="17"/>
      <c r="Y5" s="17" t="s">
        <v>37</v>
      </c>
      <c r="Z5" s="17" t="s">
        <v>37</v>
      </c>
      <c r="AA5" s="17" t="s">
        <v>37</v>
      </c>
      <c r="AB5" s="17"/>
      <c r="AC5" s="17"/>
      <c r="AD5" s="17"/>
      <c r="AE5" s="17" t="s">
        <v>37</v>
      </c>
      <c r="AF5" s="17" t="s">
        <v>37</v>
      </c>
      <c r="AG5" s="17"/>
      <c r="AH5" s="131">
        <v>3000</v>
      </c>
      <c r="AI5" s="97"/>
      <c r="AJ5" s="97">
        <v>3500</v>
      </c>
      <c r="AK5" s="132"/>
      <c r="AL5" s="21">
        <v>0.01</v>
      </c>
      <c r="AM5" s="22">
        <v>0.05</v>
      </c>
      <c r="AN5" s="23">
        <v>1000</v>
      </c>
      <c r="AO5" s="163">
        <f t="shared" si="0"/>
        <v>14</v>
      </c>
      <c r="AP5" s="146"/>
      <c r="AQ5" s="164">
        <f t="shared" si="1"/>
        <v>0</v>
      </c>
      <c r="AR5" s="146"/>
      <c r="AS5" s="167">
        <f t="shared" si="2"/>
        <v>14</v>
      </c>
      <c r="AT5" s="147"/>
      <c r="AU5" s="162">
        <f t="shared" si="4"/>
        <v>42000</v>
      </c>
      <c r="AV5" s="146"/>
      <c r="AW5" s="146"/>
      <c r="AX5" s="147"/>
      <c r="AY5" s="141" cm="1">
        <f t="array" ref="AY5">SUMPRODUCT(
(RIGHT([1]Запрос1!$D$2:$D$43198,4)=RIGHT(A5,4))*
([1]Запрос1!$A$2:$A$43198&gt;=$B$1)*
([1]Запрос1!$A$2:$A$43198&lt;=$B$2)*
[1]Запрос1!$F$2:$F$43198)*AL5</f>
        <v>1660.47</v>
      </c>
      <c r="AZ5" s="142"/>
      <c r="BA5" s="142"/>
      <c r="BB5" s="142"/>
      <c r="BC5" s="101" cm="1">
        <f t="array" ref="BC5">SUMPRODUCT(
  (RIGHT([2]Запрос1!$E$2:$E$2465,4) = RIGHT(A5,4)) *
  ([2]Запрос1!$A$2:$A$2465 &gt;= $B$1) *
  ([2]Запрос1!$A$2:$A$2465 &lt;= $B$2) *
[2]Запрос1!$I$2:$I$2465
)*AM5</f>
        <v>1959.5</v>
      </c>
      <c r="BD5" s="142"/>
      <c r="BE5" s="142"/>
      <c r="BF5" s="142"/>
      <c r="BG5" s="143" cm="1">
        <f t="array" ref="BG5">SUMPRODUCT(
    --(RIGHT([3]Запрос1!$C$2:$C$5232,4) = RIGHT(A5,4)),
    --([3]Запрос1!$E$2:$E$5232 &gt;= $B$1),
    --([3]Запрос1!$E$2:$E$5232 &lt;= $B$2)
)*AN5</f>
        <v>6000</v>
      </c>
      <c r="BH5" s="143"/>
      <c r="BI5" s="143"/>
      <c r="BJ5" s="143"/>
      <c r="BK5" s="101" cm="1">
        <f t="array" ref="BK5">SUMPRODUCT(
(RIGHT([4]Запрос1!$E$2:$E$5389,4)=RIGHT(A5,4))*
([4]Запрос1!$A$2:$A$5389&gt;=$B$1)*
([4]Запрос1!$A$2:$A$5389&lt;=$B$2)*
[4]Запрос1!$J$2:$J$5389
)*0.01</f>
        <v>0</v>
      </c>
      <c r="BL5" s="142"/>
      <c r="BM5" s="142"/>
      <c r="BN5" s="142"/>
      <c r="BO5" s="101" cm="1">
        <f t="array" ref="BO5">SUMPRODUCT(
  (RIGHT([5]Запрос1!$E$2:$E$5270,4) = RIGHT(A5,4)) *
  ([5]Запрос1!$A$2:$A$5270 &gt;= $B$1) *
  ([5]Запрос1!$A$2:$A$5270 &lt;= $B$2) *
[5]Запрос1!$I$2:$I$5270
)*0.25</f>
        <v>0</v>
      </c>
      <c r="BP5" s="142"/>
      <c r="BQ5" s="142"/>
      <c r="BR5" s="142"/>
      <c r="BS5" s="97"/>
      <c r="BT5" s="146"/>
      <c r="BU5" s="146"/>
      <c r="BV5" s="146"/>
      <c r="BW5" s="101">
        <f t="shared" si="5"/>
        <v>0</v>
      </c>
      <c r="BX5" s="142"/>
      <c r="BY5" s="142"/>
      <c r="BZ5" s="142"/>
      <c r="CA5" s="97"/>
      <c r="CB5" s="146"/>
      <c r="CC5" s="146"/>
      <c r="CD5" s="147"/>
      <c r="CE5" s="148">
        <f t="shared" si="6"/>
        <v>51619.97</v>
      </c>
      <c r="CF5" s="146"/>
      <c r="CG5" s="146"/>
      <c r="CH5" s="146"/>
      <c r="CI5" s="97"/>
      <c r="CJ5" s="146"/>
      <c r="CK5" s="146"/>
      <c r="CL5" s="146"/>
      <c r="CM5" s="97"/>
      <c r="CN5" s="146"/>
      <c r="CO5" s="146"/>
      <c r="CP5" s="153"/>
      <c r="CQ5" s="154">
        <f t="shared" ref="CQ5:CQ20" si="7">(AU5+SUM(AY5:CD5))-SUM(CI5:CP5)</f>
        <v>51619.97</v>
      </c>
      <c r="CR5" s="99"/>
      <c r="CS5" s="99"/>
      <c r="CT5" s="100"/>
      <c r="CU5" s="148">
        <f t="shared" si="3"/>
        <v>0</v>
      </c>
      <c r="CV5" s="93"/>
      <c r="CW5" s="106"/>
    </row>
    <row r="6" spans="1:106" ht="20.100000000000001" customHeight="1" thickBot="1" x14ac:dyDescent="0.3">
      <c r="A6" s="15" t="s">
        <v>38</v>
      </c>
      <c r="B6" s="10"/>
      <c r="C6" s="71"/>
      <c r="D6" s="17" t="s">
        <v>37</v>
      </c>
      <c r="E6" s="17" t="s">
        <v>37</v>
      </c>
      <c r="F6" s="17" t="s">
        <v>37</v>
      </c>
      <c r="G6" s="17"/>
      <c r="H6" s="17"/>
      <c r="I6" s="17"/>
      <c r="J6" s="17" t="s">
        <v>37</v>
      </c>
      <c r="K6" s="17" t="s">
        <v>37</v>
      </c>
      <c r="L6" s="17" t="s">
        <v>37</v>
      </c>
      <c r="M6" s="17"/>
      <c r="N6" s="17"/>
      <c r="O6" s="17"/>
      <c r="P6" s="17" t="s">
        <v>37</v>
      </c>
      <c r="Q6" s="17" t="s">
        <v>37</v>
      </c>
      <c r="R6" s="17" t="s">
        <v>37</v>
      </c>
      <c r="S6" s="17"/>
      <c r="T6" s="17"/>
      <c r="U6" s="17"/>
      <c r="V6" s="17" t="s">
        <v>37</v>
      </c>
      <c r="W6" s="17" t="s">
        <v>37</v>
      </c>
      <c r="X6" s="17" t="s">
        <v>37</v>
      </c>
      <c r="Y6" s="17"/>
      <c r="Z6" s="17"/>
      <c r="AA6" s="17"/>
      <c r="AB6" s="17" t="s">
        <v>37</v>
      </c>
      <c r="AC6" s="17" t="s">
        <v>37</v>
      </c>
      <c r="AD6" s="17" t="s">
        <v>37</v>
      </c>
      <c r="AE6" s="17"/>
      <c r="AF6" s="17"/>
      <c r="AG6" s="17" t="s">
        <v>37</v>
      </c>
      <c r="AH6" s="158">
        <v>3000</v>
      </c>
      <c r="AI6" s="152"/>
      <c r="AJ6" s="152">
        <v>3500</v>
      </c>
      <c r="AK6" s="159"/>
      <c r="AL6" s="18">
        <v>0.01</v>
      </c>
      <c r="AM6" s="19">
        <v>0.05</v>
      </c>
      <c r="AN6" s="20">
        <v>1000</v>
      </c>
      <c r="AO6" s="160">
        <f t="shared" si="0"/>
        <v>15</v>
      </c>
      <c r="AP6" s="146"/>
      <c r="AQ6" s="161">
        <f t="shared" si="1"/>
        <v>1</v>
      </c>
      <c r="AR6" s="146"/>
      <c r="AS6" s="166">
        <f t="shared" si="2"/>
        <v>16</v>
      </c>
      <c r="AT6" s="147"/>
      <c r="AU6" s="162">
        <f t="shared" si="4"/>
        <v>48500</v>
      </c>
      <c r="AV6" s="146"/>
      <c r="AW6" s="146"/>
      <c r="AX6" s="147"/>
      <c r="AY6" s="141" cm="1">
        <f t="array" ref="AY6">SUMPRODUCT(
(RIGHT([1]Запрос1!$D$2:$D$43198,4)=RIGHT(A6,4))*
([1]Запрос1!$A$2:$A$43198&gt;=$B$1)*
([1]Запрос1!$A$2:$A$43198&lt;=$B$2)*
[1]Запрос1!$F$2:$F$43198)*AL6</f>
        <v>1554.88</v>
      </c>
      <c r="AZ6" s="142"/>
      <c r="BA6" s="142"/>
      <c r="BB6" s="142"/>
      <c r="BC6" s="101" cm="1">
        <f t="array" ref="BC6">SUMPRODUCT(
  (RIGHT([2]Запрос1!$E$2:$E$2465,4) = RIGHT(A6,4)) *
  ([2]Запрос1!$A$2:$A$2465 &gt;= $B$1) *
  ([2]Запрос1!$A$2:$A$2465 &lt;= $B$2) *
[2]Запрос1!$I$2:$I$2465
)*AM6</f>
        <v>1453.25</v>
      </c>
      <c r="BD6" s="142"/>
      <c r="BE6" s="142"/>
      <c r="BF6" s="142"/>
      <c r="BG6" s="143" cm="1">
        <f t="array" ref="BG6">SUMPRODUCT(
    --(RIGHT([3]Запрос1!$C$2:$C$5232,4) = RIGHT(A6,4)),
    --([3]Запрос1!$E$2:$E$5232 &gt;= $B$1),
    --([3]Запрос1!$E$2:$E$5232 &lt;= $B$2)
)*AN6</f>
        <v>1000</v>
      </c>
      <c r="BH6" s="143"/>
      <c r="BI6" s="143"/>
      <c r="BJ6" s="143"/>
      <c r="BK6" s="101" cm="1">
        <f t="array" ref="BK6">SUMPRODUCT(
(RIGHT([4]Запрос1!$E$2:$E$5389,4)=RIGHT(A6,4))*
([4]Запрос1!$A$2:$A$5389&gt;=$B$1)*
([4]Запрос1!$A$2:$A$5389&lt;=$B$2)*
[4]Запрос1!$J$2:$J$5389
)*0.01</f>
        <v>0</v>
      </c>
      <c r="BL6" s="142"/>
      <c r="BM6" s="142"/>
      <c r="BN6" s="142"/>
      <c r="BO6" s="101" cm="1">
        <f t="array" ref="BO6">SUMPRODUCT(
  (RIGHT([5]Запрос1!$E$2:$E$5270,4) = RIGHT(A6,4)) *
  ([5]Запрос1!$A$2:$A$5270 &gt;= $B$1) *
  ([5]Запрос1!$A$2:$A$5270 &lt;= $B$2) *
[5]Запрос1!$I$2:$I$5270
)*0.25</f>
        <v>0</v>
      </c>
      <c r="BP6" s="142"/>
      <c r="BQ6" s="142"/>
      <c r="BR6" s="142"/>
      <c r="BS6" s="97"/>
      <c r="BT6" s="146"/>
      <c r="BU6" s="146"/>
      <c r="BV6" s="146"/>
      <c r="BW6" s="101">
        <f t="shared" si="5"/>
        <v>0</v>
      </c>
      <c r="BX6" s="142"/>
      <c r="BY6" s="142"/>
      <c r="BZ6" s="142"/>
      <c r="CA6" s="97"/>
      <c r="CB6" s="146"/>
      <c r="CC6" s="146"/>
      <c r="CD6" s="147"/>
      <c r="CE6" s="148">
        <f t="shared" si="6"/>
        <v>52508.13</v>
      </c>
      <c r="CF6" s="146"/>
      <c r="CG6" s="146"/>
      <c r="CH6" s="146"/>
      <c r="CI6" s="97"/>
      <c r="CJ6" s="146"/>
      <c r="CK6" s="146"/>
      <c r="CL6" s="146"/>
      <c r="CM6" s="152"/>
      <c r="CN6" s="146"/>
      <c r="CO6" s="146"/>
      <c r="CP6" s="153"/>
      <c r="CQ6" s="154">
        <f t="shared" si="7"/>
        <v>52508.13</v>
      </c>
      <c r="CR6" s="99"/>
      <c r="CS6" s="99"/>
      <c r="CT6" s="100"/>
      <c r="CU6" s="165">
        <f t="shared" si="3"/>
        <v>500</v>
      </c>
      <c r="CV6" s="93"/>
      <c r="CW6" s="106"/>
    </row>
    <row r="7" spans="1:106" ht="19.5" customHeight="1" thickBot="1" x14ac:dyDescent="0.3">
      <c r="A7" s="15" t="s">
        <v>39</v>
      </c>
      <c r="B7" s="10"/>
      <c r="C7" s="71"/>
      <c r="D7" s="17" t="s">
        <v>40</v>
      </c>
      <c r="E7" s="17" t="s">
        <v>40</v>
      </c>
      <c r="F7" s="17"/>
      <c r="G7" s="17"/>
      <c r="H7" s="17" t="s">
        <v>40</v>
      </c>
      <c r="I7" s="17" t="s">
        <v>40</v>
      </c>
      <c r="J7" s="17"/>
      <c r="K7" s="17"/>
      <c r="L7" s="17" t="s">
        <v>40</v>
      </c>
      <c r="M7" s="17" t="s">
        <v>40</v>
      </c>
      <c r="N7" s="17"/>
      <c r="O7" s="17"/>
      <c r="P7" s="17" t="s">
        <v>40</v>
      </c>
      <c r="Q7" s="17" t="s">
        <v>40</v>
      </c>
      <c r="R7" s="17"/>
      <c r="S7" s="17"/>
      <c r="T7" s="17" t="s">
        <v>40</v>
      </c>
      <c r="U7" s="17" t="s">
        <v>40</v>
      </c>
      <c r="V7" s="17"/>
      <c r="W7" s="17"/>
      <c r="X7" s="72"/>
      <c r="Y7" s="17" t="s">
        <v>40</v>
      </c>
      <c r="Z7" s="72"/>
      <c r="AA7" s="17"/>
      <c r="AB7" s="17" t="s">
        <v>40</v>
      </c>
      <c r="AC7" s="17" t="s">
        <v>40</v>
      </c>
      <c r="AD7" s="17"/>
      <c r="AE7" s="17"/>
      <c r="AF7" s="17" t="s">
        <v>40</v>
      </c>
      <c r="AG7" s="25" t="s">
        <v>40</v>
      </c>
      <c r="AH7" s="131">
        <v>4000</v>
      </c>
      <c r="AI7" s="97"/>
      <c r="AJ7" s="97">
        <v>4000</v>
      </c>
      <c r="AK7" s="132"/>
      <c r="AL7" s="21">
        <v>0.01</v>
      </c>
      <c r="AM7" s="22">
        <v>0.05</v>
      </c>
      <c r="AN7" s="23">
        <v>300</v>
      </c>
      <c r="AO7" s="163">
        <f t="shared" si="0"/>
        <v>15</v>
      </c>
      <c r="AP7" s="146"/>
      <c r="AQ7" s="164">
        <f t="shared" si="1"/>
        <v>0</v>
      </c>
      <c r="AR7" s="146"/>
      <c r="AS7" s="167">
        <f t="shared" si="2"/>
        <v>15</v>
      </c>
      <c r="AT7" s="147"/>
      <c r="AU7" s="162">
        <f t="shared" si="4"/>
        <v>60000</v>
      </c>
      <c r="AV7" s="146"/>
      <c r="AW7" s="146"/>
      <c r="AX7" s="147"/>
      <c r="AY7" s="141" cm="1">
        <f t="array" ref="AY7">SUMPRODUCT(
(RIGHT([1]Запрос1!$D$2:$D$43198,4)=RIGHT(A7,4))*
([1]Запрос1!$A$2:$A$43198&gt;=$B$1)*
([1]Запрос1!$A$2:$A$43198&lt;=$B$2)*
[1]Запрос1!$F$2:$F$43198)*AL7</f>
        <v>2515.54</v>
      </c>
      <c r="AZ7" s="142"/>
      <c r="BA7" s="142"/>
      <c r="BB7" s="142"/>
      <c r="BC7" s="101" cm="1">
        <f t="array" ref="BC7">SUMPRODUCT(
  (RIGHT([2]Запрос1!$E$2:$E$2465,4) = RIGHT(A7,4)) *
  ([2]Запрос1!$A$2:$A$2465 &gt;= $B$1) *
  ([2]Запрос1!$A$2:$A$2465 &lt;= $B$2) *
[2]Запрос1!$I$2:$I$2465
)*AM7</f>
        <v>2105.75</v>
      </c>
      <c r="BD7" s="142"/>
      <c r="BE7" s="142"/>
      <c r="BF7" s="142"/>
      <c r="BG7" s="143" cm="1">
        <f t="array" ref="BG7">SUMPRODUCT(
    --(RIGHT([3]Запрос1!$C$2:$C$5232,4) = RIGHT(A7,4)),
    --([3]Запрос1!$E$2:$E$5232 &gt;= $B$1),
    --([3]Запрос1!$E$2:$E$5232 &lt;= $B$2)
)*AN7</f>
        <v>1200</v>
      </c>
      <c r="BH7" s="143"/>
      <c r="BI7" s="143"/>
      <c r="BJ7" s="143"/>
      <c r="BK7" s="101" cm="1">
        <f t="array" ref="BK7">SUMPRODUCT(
(RIGHT([4]Запрос1!$E$2:$E$5389,4)=RIGHT(A7,4))*
([4]Запрос1!$A$2:$A$5389&gt;=$B$1)*
([4]Запрос1!$A$2:$A$5389&lt;=$B$2)*
[4]Запрос1!$J$2:$J$5389
)*0.01</f>
        <v>0</v>
      </c>
      <c r="BL7" s="142"/>
      <c r="BM7" s="142"/>
      <c r="BN7" s="142"/>
      <c r="BO7" s="101" cm="1">
        <f t="array" ref="BO7">SUMPRODUCT(
  (RIGHT([5]Запрос1!$E$2:$E$5270,4) = RIGHT(A7,4)) *
  ([5]Запрос1!$A$2:$A$5270 &gt;= $B$1) *
  ([5]Запрос1!$A$2:$A$5270 &lt;= $B$2) *
[5]Запрос1!$I$2:$I$5270
)*0.25</f>
        <v>0</v>
      </c>
      <c r="BP7" s="142"/>
      <c r="BQ7" s="142"/>
      <c r="BR7" s="142"/>
      <c r="BS7" s="97"/>
      <c r="BT7" s="146"/>
      <c r="BU7" s="146"/>
      <c r="BV7" s="146"/>
      <c r="BW7" s="101">
        <f t="shared" si="5"/>
        <v>0</v>
      </c>
      <c r="BX7" s="142"/>
      <c r="BY7" s="142"/>
      <c r="BZ7" s="142"/>
      <c r="CA7" s="97"/>
      <c r="CB7" s="146"/>
      <c r="CC7" s="146"/>
      <c r="CD7" s="147"/>
      <c r="CE7" s="148">
        <f t="shared" si="6"/>
        <v>65821.290000000008</v>
      </c>
      <c r="CF7" s="146"/>
      <c r="CG7" s="146"/>
      <c r="CH7" s="146"/>
      <c r="CI7" s="97"/>
      <c r="CJ7" s="146"/>
      <c r="CK7" s="146"/>
      <c r="CL7" s="146"/>
      <c r="CM7" s="97"/>
      <c r="CN7" s="146"/>
      <c r="CO7" s="146"/>
      <c r="CP7" s="153"/>
      <c r="CQ7" s="154">
        <f t="shared" si="7"/>
        <v>65821.289999999994</v>
      </c>
      <c r="CR7" s="99"/>
      <c r="CS7" s="99"/>
      <c r="CT7" s="100"/>
      <c r="CU7" s="148">
        <f t="shared" si="3"/>
        <v>0</v>
      </c>
      <c r="CV7" s="93"/>
      <c r="CW7" s="106"/>
    </row>
    <row r="8" spans="1:106" ht="19.5" customHeight="1" thickBot="1" x14ac:dyDescent="0.3">
      <c r="A8" s="15" t="s">
        <v>41</v>
      </c>
      <c r="B8" s="10"/>
      <c r="C8" s="71"/>
      <c r="D8" s="17"/>
      <c r="E8" s="17"/>
      <c r="F8" s="17" t="s">
        <v>40</v>
      </c>
      <c r="G8" s="17" t="s">
        <v>40</v>
      </c>
      <c r="H8" s="17" t="s">
        <v>42</v>
      </c>
      <c r="I8" s="17" t="s">
        <v>42</v>
      </c>
      <c r="J8" s="17" t="s">
        <v>40</v>
      </c>
      <c r="K8" s="17" t="s">
        <v>40</v>
      </c>
      <c r="L8" s="17"/>
      <c r="M8" s="17" t="s">
        <v>42</v>
      </c>
      <c r="N8" s="17" t="s">
        <v>42</v>
      </c>
      <c r="O8" s="17" t="s">
        <v>40</v>
      </c>
      <c r="P8" s="17"/>
      <c r="Q8" s="17" t="s">
        <v>42</v>
      </c>
      <c r="R8" s="17" t="s">
        <v>40</v>
      </c>
      <c r="S8" s="17" t="s">
        <v>40</v>
      </c>
      <c r="T8" s="17"/>
      <c r="U8" s="17" t="s">
        <v>42</v>
      </c>
      <c r="V8" s="17" t="s">
        <v>40</v>
      </c>
      <c r="W8" s="17" t="s">
        <v>40</v>
      </c>
      <c r="X8" s="17" t="s">
        <v>40</v>
      </c>
      <c r="Y8" s="17"/>
      <c r="Z8" s="17" t="s">
        <v>40</v>
      </c>
      <c r="AA8" s="17" t="s">
        <v>40</v>
      </c>
      <c r="AB8" s="17"/>
      <c r="AC8" s="17" t="s">
        <v>42</v>
      </c>
      <c r="AD8" s="17" t="s">
        <v>40</v>
      </c>
      <c r="AE8" s="17" t="s">
        <v>40</v>
      </c>
      <c r="AF8" s="17"/>
      <c r="AG8" s="25"/>
      <c r="AH8" s="158">
        <v>3350</v>
      </c>
      <c r="AI8" s="152"/>
      <c r="AJ8" s="152">
        <v>3850</v>
      </c>
      <c r="AK8" s="159"/>
      <c r="AL8" s="18">
        <v>0.02</v>
      </c>
      <c r="AM8" s="19">
        <v>0.08</v>
      </c>
      <c r="AN8" s="20">
        <v>1000</v>
      </c>
      <c r="AO8" s="160">
        <f t="shared" si="0"/>
        <v>15</v>
      </c>
      <c r="AP8" s="146"/>
      <c r="AQ8" s="161">
        <f t="shared" si="1"/>
        <v>6</v>
      </c>
      <c r="AR8" s="146"/>
      <c r="AS8" s="166">
        <f>COUNTIF(C8:AG8, "М")+COUNTIF(C8:AG8, "Ц")+COUNTIF(C8:AG8, "П")+COUNTIF(C8:AG8, "Ох")+COUNTIF(C8:AG8, "Оз")+COUNTIF(C8:AG8, "А")+COUNTIF(C8:AG8, "Р")+(COUNTIF(C8:AG8, "05М")/2)+(COUNTIF(C8:AG8, "05Ц")/2)+(COUNTIF(C8:AG8, "05П")/2)+(COUNTIF(C8:AG8, "05Ох")/2)+(COUNTIF(C8:AG8, "05Оз")/2)+(COUNTIF(C8:AG8, "05А")/2)+(COUNTIF(C8:AG8, "05Р")/2)</f>
        <v>21</v>
      </c>
      <c r="AT8" s="147"/>
      <c r="AU8" s="162">
        <f t="shared" si="4"/>
        <v>73350</v>
      </c>
      <c r="AV8" s="146"/>
      <c r="AW8" s="146"/>
      <c r="AX8" s="147"/>
      <c r="AY8" s="141" cm="1">
        <f t="array" ref="AY8">SUMPRODUCT(
(RIGHT([1]Запрос1!$D$2:$D$43198,4)=RIGHT(A8,4))*
([1]Запрос1!$A$2:$A$43198&gt;=$B$1)*
([1]Запрос1!$A$2:$A$43198&lt;=$B$2)*
[1]Запрос1!$F$2:$F$43198)*AL8</f>
        <v>9121.9</v>
      </c>
      <c r="AZ8" s="142"/>
      <c r="BA8" s="142"/>
      <c r="BB8" s="142"/>
      <c r="BC8" s="101" cm="1">
        <f t="array" ref="BC8">SUMPRODUCT(
  (RIGHT([2]Запрос1!$E$2:$E$2465,4) = RIGHT(A8,4)) *
  ([2]Запрос1!$A$2:$A$2465 &gt;= $B$1) *
  ([2]Запрос1!$A$2:$A$2465 &lt;= $B$2) *
[2]Запрос1!$I$2:$I$2465
)*AM8</f>
        <v>6973.6</v>
      </c>
      <c r="BD8" s="142"/>
      <c r="BE8" s="142"/>
      <c r="BF8" s="142"/>
      <c r="BG8" s="143">
        <v>9000</v>
      </c>
      <c r="BH8" s="143"/>
      <c r="BI8" s="143"/>
      <c r="BJ8" s="143"/>
      <c r="BK8" s="101" cm="1">
        <f t="array" ref="BK8">SUMPRODUCT(
(RIGHT([4]Запрос1!$E$2:$E$5389,4)=RIGHT(A8,4))*
([4]Запрос1!$A$2:$A$5389&gt;=$B$1)*
([4]Запрос1!$A$2:$A$5389&lt;=$B$2)*
[4]Запрос1!$J$2:$J$5389
)*0.01</f>
        <v>0</v>
      </c>
      <c r="BL8" s="142"/>
      <c r="BM8" s="142"/>
      <c r="BN8" s="142"/>
      <c r="BO8" s="101" cm="1">
        <f t="array" ref="BO8">SUMPRODUCT(
  (RIGHT([5]Запрос1!$E$2:$E$5270,4) = RIGHT(A8,4)) *
  ([5]Запрос1!$A$2:$A$5270 &gt;= $B$1) *
  ([5]Запрос1!$A$2:$A$5270 &lt;= $B$2) *
[5]Запрос1!$I$2:$I$5270
)*0.25</f>
        <v>0</v>
      </c>
      <c r="BP8" s="142"/>
      <c r="BQ8" s="142"/>
      <c r="BR8" s="142"/>
      <c r="BS8" s="97"/>
      <c r="BT8" s="146"/>
      <c r="BU8" s="146"/>
      <c r="BV8" s="146"/>
      <c r="BW8" s="101">
        <f t="shared" si="5"/>
        <v>0</v>
      </c>
      <c r="BX8" s="142"/>
      <c r="BY8" s="142"/>
      <c r="BZ8" s="142"/>
      <c r="CA8" s="97"/>
      <c r="CB8" s="146"/>
      <c r="CC8" s="146"/>
      <c r="CD8" s="147"/>
      <c r="CE8" s="148">
        <f t="shared" si="6"/>
        <v>98445.5</v>
      </c>
      <c r="CF8" s="146"/>
      <c r="CG8" s="146"/>
      <c r="CH8" s="146"/>
      <c r="CI8" s="97">
        <v>150</v>
      </c>
      <c r="CJ8" s="146"/>
      <c r="CK8" s="146"/>
      <c r="CL8" s="146"/>
      <c r="CM8" s="152">
        <v>75000</v>
      </c>
      <c r="CN8" s="146"/>
      <c r="CO8" s="146"/>
      <c r="CP8" s="153"/>
      <c r="CQ8" s="154">
        <f t="shared" si="7"/>
        <v>23295.5</v>
      </c>
      <c r="CR8" s="99"/>
      <c r="CS8" s="99"/>
      <c r="CT8" s="100"/>
      <c r="CU8" s="165">
        <f t="shared" si="3"/>
        <v>3000</v>
      </c>
      <c r="CV8" s="93"/>
      <c r="CW8" s="106"/>
    </row>
    <row r="9" spans="1:106" ht="20.100000000000001" customHeight="1" thickBot="1" x14ac:dyDescent="0.3">
      <c r="A9" s="15" t="s">
        <v>43</v>
      </c>
      <c r="B9" s="10"/>
      <c r="C9" s="71"/>
      <c r="D9" s="17" t="s">
        <v>44</v>
      </c>
      <c r="E9" s="17" t="s">
        <v>44</v>
      </c>
      <c r="F9" s="17"/>
      <c r="G9" s="17"/>
      <c r="H9" s="17" t="s">
        <v>44</v>
      </c>
      <c r="I9" s="17" t="s">
        <v>44</v>
      </c>
      <c r="J9" s="17"/>
      <c r="K9" s="17"/>
      <c r="L9" s="17" t="s">
        <v>44</v>
      </c>
      <c r="M9" s="17" t="s">
        <v>44</v>
      </c>
      <c r="N9" s="17" t="s">
        <v>40</v>
      </c>
      <c r="O9" s="17"/>
      <c r="P9" s="17" t="s">
        <v>44</v>
      </c>
      <c r="Q9" s="17" t="s">
        <v>44</v>
      </c>
      <c r="R9" s="17"/>
      <c r="S9" s="17"/>
      <c r="T9" s="17" t="s">
        <v>44</v>
      </c>
      <c r="U9" s="17" t="s">
        <v>44</v>
      </c>
      <c r="V9" s="17"/>
      <c r="W9" s="17"/>
      <c r="X9" s="17" t="s">
        <v>44</v>
      </c>
      <c r="Y9" s="17" t="s">
        <v>44</v>
      </c>
      <c r="Z9" s="17"/>
      <c r="AA9" s="17"/>
      <c r="AB9" s="17" t="s">
        <v>44</v>
      </c>
      <c r="AC9" s="17" t="s">
        <v>44</v>
      </c>
      <c r="AD9" s="17"/>
      <c r="AE9" s="17"/>
      <c r="AF9" s="17" t="s">
        <v>44</v>
      </c>
      <c r="AG9" s="25" t="s">
        <v>44</v>
      </c>
      <c r="AH9" s="131">
        <v>3350</v>
      </c>
      <c r="AI9" s="97"/>
      <c r="AJ9" s="97">
        <v>3850</v>
      </c>
      <c r="AK9" s="132"/>
      <c r="AL9" s="21">
        <v>0.01</v>
      </c>
      <c r="AM9" s="22">
        <v>0.05</v>
      </c>
      <c r="AN9" s="23">
        <v>1000</v>
      </c>
      <c r="AO9" s="163">
        <f t="shared" si="0"/>
        <v>15</v>
      </c>
      <c r="AP9" s="146"/>
      <c r="AQ9" s="164">
        <f t="shared" si="1"/>
        <v>2</v>
      </c>
      <c r="AR9" s="146"/>
      <c r="AS9" s="167">
        <f t="shared" ref="AS9:AS10" si="8">COUNTIF(C9:AG9, "М")+COUNTIF(C9:AG9, "Ц")+COUNTIF(C9:AG9, "П")+COUNTIF(C9:AG9, "Ох")+COUNTIF(C9:AG9, "Оз")+COUNTIF(C9:AG9, "А")+COUNTIF(C9:AG9, "Р")+(COUNTIF(C9:AG9, "05М")/2)+(COUNTIF(C9:AG9, "05Ц")/2)+(COUNTIF(C9:AG9, "05П")/2)+(COUNTIF(C9:AG9, "05Ох")/2)+(COUNTIF(C9:AG9, "05Оз")/2)+(COUNTIF(C9:AG9, "05А")/2)+(COUNTIF(C9:AG9, "05Р")/2)</f>
        <v>17</v>
      </c>
      <c r="AT9" s="147"/>
      <c r="AU9" s="162">
        <f t="shared" si="4"/>
        <v>57950</v>
      </c>
      <c r="AV9" s="146"/>
      <c r="AW9" s="146"/>
      <c r="AX9" s="147"/>
      <c r="AY9" s="141" cm="1">
        <f t="array" ref="AY9">SUMPRODUCT(
(RIGHT([1]Запрос1!$D$2:$D$43198,4)=RIGHT(A9,4))*
([1]Запрос1!$A$2:$A$43198&gt;=$B$1)*
([1]Запрос1!$A$2:$A$43198&lt;=$B$2)*
[1]Запрос1!$F$2:$F$43198)*AL9</f>
        <v>3926.9900000000002</v>
      </c>
      <c r="AZ9" s="142"/>
      <c r="BA9" s="142"/>
      <c r="BB9" s="142"/>
      <c r="BC9" s="101" cm="1">
        <f t="array" ref="BC9">SUMPRODUCT(
  (RIGHT([2]Запрос1!$E$2:$E$2465,4) = RIGHT(A9,4)) *
  ([2]Запрос1!$A$2:$A$2465 &gt;= $B$1) *
  ([2]Запрос1!$A$2:$A$2465 &lt;= $B$2) *
[2]Запрос1!$I$2:$I$2465
)*AM9</f>
        <v>2429.5</v>
      </c>
      <c r="BD9" s="142"/>
      <c r="BE9" s="142"/>
      <c r="BF9" s="142"/>
      <c r="BG9" s="143" cm="1">
        <f t="array" ref="BG9">SUMPRODUCT(
    --(RIGHT([3]Запрос1!$C$2:$C$5232,4) = RIGHT(A9,4)),
    --([3]Запрос1!$E$2:$E$5232 &gt;= $B$1),
    --([3]Запрос1!$E$2:$E$5232 &lt;= $B$2)
)*AN9</f>
        <v>0</v>
      </c>
      <c r="BH9" s="143"/>
      <c r="BI9" s="143"/>
      <c r="BJ9" s="143"/>
      <c r="BK9" s="101" cm="1">
        <f t="array" ref="BK9">SUMPRODUCT(
(RIGHT([4]Запрос1!$E$2:$E$5389,4)=RIGHT(A9,4))*
([4]Запрос1!$A$2:$A$5389&gt;=$B$1)*
([4]Запрос1!$A$2:$A$5389&lt;=$B$2)*
[4]Запрос1!$J$2:$J$5389
)*0.01</f>
        <v>0</v>
      </c>
      <c r="BL9" s="142"/>
      <c r="BM9" s="142"/>
      <c r="BN9" s="142"/>
      <c r="BO9" s="101" cm="1">
        <f t="array" ref="BO9">SUMPRODUCT(
  (RIGHT([5]Запрос1!$E$2:$E$5270,4) = RIGHT(A9,4)) *
  ([5]Запрос1!$A$2:$A$5270 &gt;= $B$1) *
  ([5]Запрос1!$A$2:$A$5270 &lt;= $B$2) *
[5]Запрос1!$I$2:$I$5270
)*0.25</f>
        <v>881.75</v>
      </c>
      <c r="BP9" s="142"/>
      <c r="BQ9" s="142"/>
      <c r="BR9" s="142"/>
      <c r="BS9" s="97"/>
      <c r="BT9" s="146"/>
      <c r="BU9" s="146"/>
      <c r="BV9" s="146"/>
      <c r="BW9" s="101">
        <f t="shared" si="5"/>
        <v>0</v>
      </c>
      <c r="BX9" s="142"/>
      <c r="BY9" s="142"/>
      <c r="BZ9" s="142"/>
      <c r="CA9" s="97"/>
      <c r="CB9" s="146"/>
      <c r="CC9" s="146"/>
      <c r="CD9" s="147"/>
      <c r="CE9" s="148">
        <f t="shared" si="6"/>
        <v>65188.24</v>
      </c>
      <c r="CF9" s="146"/>
      <c r="CG9" s="146"/>
      <c r="CH9" s="146"/>
      <c r="CI9" s="97"/>
      <c r="CJ9" s="146"/>
      <c r="CK9" s="146"/>
      <c r="CL9" s="146"/>
      <c r="CM9" s="97"/>
      <c r="CN9" s="146"/>
      <c r="CO9" s="146"/>
      <c r="CP9" s="153"/>
      <c r="CQ9" s="154">
        <f t="shared" si="7"/>
        <v>65188.24</v>
      </c>
      <c r="CR9" s="99"/>
      <c r="CS9" s="99"/>
      <c r="CT9" s="100"/>
      <c r="CU9" s="148">
        <f t="shared" si="3"/>
        <v>1000</v>
      </c>
      <c r="CV9" s="93"/>
      <c r="CW9" s="106"/>
    </row>
    <row r="10" spans="1:106" ht="19.5" customHeight="1" thickBot="1" x14ac:dyDescent="0.3">
      <c r="A10" s="26" t="s">
        <v>52</v>
      </c>
      <c r="B10" s="10"/>
      <c r="C10" s="71"/>
      <c r="D10" s="17"/>
      <c r="E10" s="17"/>
      <c r="F10" s="17" t="s">
        <v>44</v>
      </c>
      <c r="G10" s="17" t="s">
        <v>44</v>
      </c>
      <c r="H10" s="17"/>
      <c r="I10" s="17"/>
      <c r="J10" s="17" t="s">
        <v>44</v>
      </c>
      <c r="K10" s="17" t="s">
        <v>44</v>
      </c>
      <c r="L10" s="17"/>
      <c r="M10" s="17"/>
      <c r="N10" s="17" t="s">
        <v>44</v>
      </c>
      <c r="O10" s="17" t="s">
        <v>44</v>
      </c>
      <c r="P10" s="17"/>
      <c r="Q10" s="17"/>
      <c r="R10" s="17" t="s">
        <v>44</v>
      </c>
      <c r="S10" s="17" t="s">
        <v>44</v>
      </c>
      <c r="T10" s="17"/>
      <c r="U10" s="17"/>
      <c r="V10" s="17" t="s">
        <v>44</v>
      </c>
      <c r="W10" s="17" t="s">
        <v>44</v>
      </c>
      <c r="X10" s="17"/>
      <c r="Y10" s="17"/>
      <c r="Z10" s="17" t="s">
        <v>44</v>
      </c>
      <c r="AA10" s="17" t="s">
        <v>44</v>
      </c>
      <c r="AB10" s="17"/>
      <c r="AC10" s="17"/>
      <c r="AD10" s="17" t="s">
        <v>44</v>
      </c>
      <c r="AE10" s="17" t="s">
        <v>44</v>
      </c>
      <c r="AF10" s="17"/>
      <c r="AG10" s="25"/>
      <c r="AH10" s="158">
        <v>3350</v>
      </c>
      <c r="AI10" s="152"/>
      <c r="AJ10" s="152">
        <v>3850</v>
      </c>
      <c r="AK10" s="159"/>
      <c r="AL10" s="18">
        <v>0.02</v>
      </c>
      <c r="AM10" s="19">
        <v>0.08</v>
      </c>
      <c r="AN10" s="20">
        <v>1000</v>
      </c>
      <c r="AO10" s="160">
        <f t="shared" si="0"/>
        <v>14</v>
      </c>
      <c r="AP10" s="146"/>
      <c r="AQ10" s="161">
        <f t="shared" si="1"/>
        <v>0</v>
      </c>
      <c r="AR10" s="146"/>
      <c r="AS10" s="166">
        <f t="shared" si="8"/>
        <v>14</v>
      </c>
      <c r="AT10" s="147"/>
      <c r="AU10" s="162">
        <f t="shared" si="4"/>
        <v>46900</v>
      </c>
      <c r="AV10" s="146"/>
      <c r="AW10" s="146"/>
      <c r="AX10" s="147"/>
      <c r="AY10" s="141" cm="1">
        <f t="array" ref="AY10">SUMPRODUCT(
(RIGHT([1]Запрос1!$D$2:$D$43198,4)=RIGHT(A10,4))*
([1]Запрос1!$A$2:$A$43198&gt;=$B$1)*
([1]Запрос1!$A$2:$A$43198&lt;=$B$2)*
[1]Запрос1!$F$2:$F$43198)*AL10</f>
        <v>7432.68</v>
      </c>
      <c r="AZ10" s="142"/>
      <c r="BA10" s="142"/>
      <c r="BB10" s="142"/>
      <c r="BC10" s="101" cm="1">
        <f t="array" ref="BC10">SUMPRODUCT(
  (RIGHT([2]Запрос1!$E$2:$E$2465,4) = RIGHT(A10,4)) *
  ([2]Запрос1!$A$2:$A$2465 &gt;= $B$1) *
  ([2]Запрос1!$A$2:$A$2465 &lt;= $B$2) *
[2]Запрос1!$I$2:$I$2465
)*AM10</f>
        <v>3012</v>
      </c>
      <c r="BD10" s="142"/>
      <c r="BE10" s="142"/>
      <c r="BF10" s="142"/>
      <c r="BG10" s="143" cm="1">
        <f t="array" ref="BG10">SUMPRODUCT(
    --(RIGHT([3]Запрос1!$C$2:$C$5232,4) = RIGHT(A10,4)),
    --([3]Запрос1!$E$2:$E$5232 &gt;= $B$1),
    --([3]Запрос1!$E$2:$E$5232 &lt;= $B$2)
)*AN10</f>
        <v>0</v>
      </c>
      <c r="BH10" s="143"/>
      <c r="BI10" s="143"/>
      <c r="BJ10" s="143"/>
      <c r="BK10" s="101" cm="1">
        <f t="array" ref="BK10">SUMPRODUCT(
(RIGHT([4]Запрос1!$E$2:$E$5389,4)=RIGHT(A10,4))*
([4]Запрос1!$A$2:$A$5389&gt;=$B$1)*
([4]Запрос1!$A$2:$A$5389&lt;=$B$2)*
[4]Запрос1!$J$2:$J$5389
)*0.01</f>
        <v>0</v>
      </c>
      <c r="BL10" s="142"/>
      <c r="BM10" s="142"/>
      <c r="BN10" s="142"/>
      <c r="BO10" s="101" cm="1">
        <f t="array" ref="BO10">SUMPRODUCT(
  (RIGHT([5]Запрос1!$E$2:$E$5270,4) = RIGHT(A10,4)) *
  ([5]Запрос1!$A$2:$A$5270 &gt;= $B$1) *
  ([5]Запрос1!$A$2:$A$5270 &lt;= $B$2) *
[5]Запрос1!$I$2:$I$5270
)*0.25</f>
        <v>725</v>
      </c>
      <c r="BP10" s="142"/>
      <c r="BQ10" s="142"/>
      <c r="BR10" s="142"/>
      <c r="BS10" s="97"/>
      <c r="BT10" s="146"/>
      <c r="BU10" s="146"/>
      <c r="BV10" s="146"/>
      <c r="BW10" s="101">
        <f t="shared" si="5"/>
        <v>0</v>
      </c>
      <c r="BX10" s="142"/>
      <c r="BY10" s="142"/>
      <c r="BZ10" s="142"/>
      <c r="CA10" s="97"/>
      <c r="CB10" s="146"/>
      <c r="CC10" s="146"/>
      <c r="CD10" s="147"/>
      <c r="CE10" s="148">
        <f t="shared" si="6"/>
        <v>58069.68</v>
      </c>
      <c r="CF10" s="146"/>
      <c r="CG10" s="146"/>
      <c r="CH10" s="146"/>
      <c r="CI10" s="97"/>
      <c r="CJ10" s="146"/>
      <c r="CK10" s="146"/>
      <c r="CL10" s="146"/>
      <c r="CM10" s="152"/>
      <c r="CN10" s="146"/>
      <c r="CO10" s="146"/>
      <c r="CP10" s="153"/>
      <c r="CQ10" s="154">
        <f t="shared" si="7"/>
        <v>58069.68</v>
      </c>
      <c r="CR10" s="99"/>
      <c r="CS10" s="99"/>
      <c r="CT10" s="100"/>
      <c r="CU10" s="165">
        <f t="shared" si="3"/>
        <v>0</v>
      </c>
      <c r="CV10" s="93"/>
      <c r="CW10" s="106"/>
    </row>
    <row r="11" spans="1:106" ht="20.100000000000001" customHeight="1" thickBot="1" x14ac:dyDescent="0.3">
      <c r="A11" s="15" t="s">
        <v>45</v>
      </c>
      <c r="B11" s="10"/>
      <c r="C11" s="71"/>
      <c r="D11" s="17"/>
      <c r="E11" s="17" t="s">
        <v>42</v>
      </c>
      <c r="F11" s="17" t="s">
        <v>42</v>
      </c>
      <c r="G11" s="17"/>
      <c r="H11" s="17"/>
      <c r="I11" s="17"/>
      <c r="J11" s="17"/>
      <c r="K11" s="17" t="s">
        <v>42</v>
      </c>
      <c r="L11" s="17" t="s">
        <v>42</v>
      </c>
      <c r="M11" s="17"/>
      <c r="N11" s="17"/>
      <c r="O11" s="17" t="s">
        <v>42</v>
      </c>
      <c r="P11" s="17" t="s">
        <v>42</v>
      </c>
      <c r="Q11" s="17"/>
      <c r="R11" s="17"/>
      <c r="S11" s="17" t="s">
        <v>42</v>
      </c>
      <c r="T11" s="17" t="s">
        <v>42</v>
      </c>
      <c r="U11" s="17"/>
      <c r="V11" s="17"/>
      <c r="W11" s="17" t="s">
        <v>42</v>
      </c>
      <c r="X11" s="17" t="s">
        <v>42</v>
      </c>
      <c r="Y11" s="17"/>
      <c r="Z11" s="17" t="s">
        <v>42</v>
      </c>
      <c r="AA11" s="17" t="s">
        <v>42</v>
      </c>
      <c r="AB11" s="17" t="s">
        <v>42</v>
      </c>
      <c r="AC11" s="17"/>
      <c r="AD11" s="17"/>
      <c r="AE11" s="17" t="s">
        <v>42</v>
      </c>
      <c r="AF11" s="17" t="s">
        <v>42</v>
      </c>
      <c r="AG11" s="17" t="s">
        <v>42</v>
      </c>
      <c r="AH11" s="131">
        <v>3000</v>
      </c>
      <c r="AI11" s="97"/>
      <c r="AJ11" s="97">
        <v>3500</v>
      </c>
      <c r="AK11" s="132"/>
      <c r="AL11" s="21">
        <v>0.01</v>
      </c>
      <c r="AM11" s="22">
        <v>0.05</v>
      </c>
      <c r="AN11" s="23">
        <v>300</v>
      </c>
      <c r="AO11" s="163">
        <f t="shared" si="0"/>
        <v>15</v>
      </c>
      <c r="AP11" s="146"/>
      <c r="AQ11" s="164">
        <f t="shared" si="1"/>
        <v>1</v>
      </c>
      <c r="AR11" s="146"/>
      <c r="AS11" s="167">
        <f>COUNTIF(C11:AG11, "М")+COUNTIF(C11:AG11, "Ц")+COUNTIF(C11:AG11, "П")+COUNTIF(C11:AG11, "Ох")+COUNTIF(C11:AG11, "Оз")+COUNTIF(C11:AG11, "А")+COUNTIF(C11:AG11, "Р")+(COUNTIF(C11:AG11, "05М")/2)+(COUNTIF(C11:AG11, "05Ц")/2)+(COUNTIF(C11:AG11, "05П")/2)+(COUNTIF(C11:AG11, "05Ох")/2)+(COUNTIF(C11:AG11, "05Оз")/2)+(COUNTIF(C11:AG11, "05А")/2)+(COUNTIF(C11:AG11, "05Р")/2)</f>
        <v>16</v>
      </c>
      <c r="AT11" s="147"/>
      <c r="AU11" s="162">
        <f t="shared" si="4"/>
        <v>48500</v>
      </c>
      <c r="AV11" s="146"/>
      <c r="AW11" s="146"/>
      <c r="AX11" s="147"/>
      <c r="AY11" s="141" cm="1">
        <f t="array" ref="AY11">SUMPRODUCT(
(RIGHT([1]Запрос1!$D$2:$D$43198,4)=RIGHT(A11,4))*
([1]Запрос1!$A$2:$A$43198&gt;=$B$1)*
([1]Запрос1!$A$2:$A$43198&lt;=$B$2)*
[1]Запрос1!$F$2:$F$43198)*AL11</f>
        <v>6687.75</v>
      </c>
      <c r="AZ11" s="142"/>
      <c r="BA11" s="142"/>
      <c r="BB11" s="142"/>
      <c r="BC11" s="101" cm="1">
        <f t="array" ref="BC11">SUMPRODUCT(
  (RIGHT([2]Запрос1!$E$2:$E$2465,4) = RIGHT(A11,4)) *
  ([2]Запрос1!$A$2:$A$2465 &gt;= $B$1) *
  ([2]Запрос1!$A$2:$A$2465 &lt;= $B$2) *
[2]Запрос1!$I$2:$I$2465
)*AM11</f>
        <v>4377.5</v>
      </c>
      <c r="BD11" s="142"/>
      <c r="BE11" s="142"/>
      <c r="BF11" s="142"/>
      <c r="BG11" s="143" cm="1">
        <f t="array" ref="BG11">SUMPRODUCT(
    --(RIGHT([3]Запрос1!$C$2:$C$5232,4) = RIGHT(A11,4)),
    --([3]Запрос1!$E$2:$E$5232 &gt;= $B$1),
    --([3]Запрос1!$E$2:$E$5232 &lt;= $B$2)
)*AN11</f>
        <v>1200</v>
      </c>
      <c r="BH11" s="143"/>
      <c r="BI11" s="143"/>
      <c r="BJ11" s="143"/>
      <c r="BK11" s="101" cm="1">
        <f t="array" ref="BK11">SUMPRODUCT(
(RIGHT([4]Запрос1!$E$2:$E$5389,4)=RIGHT(A11,4))*
([4]Запрос1!$A$2:$A$5389&gt;=$B$1)*
([4]Запрос1!$A$2:$A$5389&lt;=$B$2)*
[4]Запрос1!$J$2:$J$5389
)*0.01</f>
        <v>0</v>
      </c>
      <c r="BL11" s="142"/>
      <c r="BM11" s="142"/>
      <c r="BN11" s="142"/>
      <c r="BO11" s="101" cm="1">
        <f t="array" ref="BO11">SUMPRODUCT(
  (RIGHT([5]Запрос1!$E$2:$E$5270,4) = RIGHT(A11,4)) *
  ([5]Запрос1!$A$2:$A$5270 &gt;= $B$1) *
  ([5]Запрос1!$A$2:$A$5270 &lt;= $B$2) *
[5]Запрос1!$I$2:$I$5270
)*0.25</f>
        <v>0</v>
      </c>
      <c r="BP11" s="142"/>
      <c r="BQ11" s="142"/>
      <c r="BR11" s="142"/>
      <c r="BS11" s="97"/>
      <c r="BT11" s="146"/>
      <c r="BU11" s="146"/>
      <c r="BV11" s="146"/>
      <c r="BW11" s="101">
        <f t="shared" si="5"/>
        <v>0</v>
      </c>
      <c r="BX11" s="142"/>
      <c r="BY11" s="142"/>
      <c r="BZ11" s="142"/>
      <c r="CA11" s="97"/>
      <c r="CB11" s="146"/>
      <c r="CC11" s="146"/>
      <c r="CD11" s="147"/>
      <c r="CE11" s="148">
        <f t="shared" si="6"/>
        <v>60765.25</v>
      </c>
      <c r="CF11" s="146"/>
      <c r="CG11" s="146"/>
      <c r="CH11" s="146"/>
      <c r="CI11" s="97"/>
      <c r="CJ11" s="146"/>
      <c r="CK11" s="146"/>
      <c r="CL11" s="146"/>
      <c r="CM11" s="97"/>
      <c r="CN11" s="146"/>
      <c r="CO11" s="146"/>
      <c r="CP11" s="153"/>
      <c r="CQ11" s="154">
        <f t="shared" si="7"/>
        <v>60765.25</v>
      </c>
      <c r="CR11" s="99"/>
      <c r="CS11" s="99"/>
      <c r="CT11" s="100"/>
      <c r="CU11" s="148">
        <f t="shared" si="3"/>
        <v>500</v>
      </c>
      <c r="CV11" s="93"/>
      <c r="CW11" s="106"/>
    </row>
    <row r="12" spans="1:106" ht="20.100000000000001" customHeight="1" thickBot="1" x14ac:dyDescent="0.3">
      <c r="A12" s="15" t="s">
        <v>48</v>
      </c>
      <c r="B12" s="10"/>
      <c r="C12" s="71"/>
      <c r="D12" s="17"/>
      <c r="E12" s="17"/>
      <c r="F12" s="17" t="s">
        <v>49</v>
      </c>
      <c r="G12" s="17" t="s">
        <v>49</v>
      </c>
      <c r="H12" s="17"/>
      <c r="I12" s="17"/>
      <c r="J12" s="17" t="s">
        <v>49</v>
      </c>
      <c r="K12" s="17" t="s">
        <v>49</v>
      </c>
      <c r="L12" s="17"/>
      <c r="M12" s="17"/>
      <c r="N12" s="17" t="s">
        <v>49</v>
      </c>
      <c r="O12" s="17" t="s">
        <v>49</v>
      </c>
      <c r="P12" s="17"/>
      <c r="Q12" s="17"/>
      <c r="R12" s="17" t="s">
        <v>49</v>
      </c>
      <c r="S12" s="17" t="s">
        <v>49</v>
      </c>
      <c r="T12" s="17"/>
      <c r="U12" s="17"/>
      <c r="V12" s="17" t="s">
        <v>49</v>
      </c>
      <c r="W12" s="17" t="s">
        <v>49</v>
      </c>
      <c r="X12" s="17"/>
      <c r="Y12" s="17"/>
      <c r="Z12" s="17" t="s">
        <v>49</v>
      </c>
      <c r="AA12" s="17" t="s">
        <v>49</v>
      </c>
      <c r="AB12" s="17"/>
      <c r="AC12" s="17"/>
      <c r="AD12" s="17" t="s">
        <v>49</v>
      </c>
      <c r="AE12" s="17" t="s">
        <v>49</v>
      </c>
      <c r="AF12" s="17"/>
      <c r="AG12" s="25"/>
      <c r="AH12" s="158">
        <v>3350</v>
      </c>
      <c r="AI12" s="152"/>
      <c r="AJ12" s="152">
        <v>3850</v>
      </c>
      <c r="AK12" s="159"/>
      <c r="AL12" s="18">
        <v>0.02</v>
      </c>
      <c r="AM12" s="19">
        <v>0.08</v>
      </c>
      <c r="AN12" s="20">
        <v>1000</v>
      </c>
      <c r="AO12" s="160">
        <f t="shared" si="0"/>
        <v>14</v>
      </c>
      <c r="AP12" s="146"/>
      <c r="AQ12" s="161">
        <f t="shared" si="1"/>
        <v>0</v>
      </c>
      <c r="AR12" s="146"/>
      <c r="AS12" s="166">
        <f>COUNTIF(C12:AG12, "М")+COUNTIF(C12:AG12, "Ц")+COUNTIF(C12:AG12, "П")+COUNTIF(C12:AG12, "Ох")+COUNTIF(C12:AG12, "Оз")+COUNTIF(C12:AG12, "А")+COUNTIF(C12:AG12, "Р")+(COUNTIF(C12:AG12, "05М")/2)+(COUNTIF(C12:AG12, "05Ц")/2)+(COUNTIF(C12:AG12, "05П")/2)+(COUNTIF(C12:AG12, "05Ох")/2)+(COUNTIF(C12:AG12, "05Оз")/2)+(COUNTIF(C12:AG12, "05А")/2)+(COUNTIF(C12:AG12, "05Р")/2)</f>
        <v>14</v>
      </c>
      <c r="AT12" s="147"/>
      <c r="AU12" s="162">
        <f t="shared" si="4"/>
        <v>46900</v>
      </c>
      <c r="AV12" s="146"/>
      <c r="AW12" s="146"/>
      <c r="AX12" s="147"/>
      <c r="AY12" s="141" cm="1">
        <f t="array" ref="AY12">SUMPRODUCT(
(RIGHT([1]Запрос1!$D$2:$D$43198,4)=RIGHT(A12,4))*
([1]Запрос1!$A$2:$A$43198&gt;=$B$1)*
([1]Запрос1!$A$2:$A$43198&lt;=$B$2)*
[1]Запрос1!$F$2:$F$43198)*AL12</f>
        <v>3648.7000000000003</v>
      </c>
      <c r="AZ12" s="142"/>
      <c r="BA12" s="142"/>
      <c r="BB12" s="142"/>
      <c r="BC12" s="101" cm="1">
        <f t="array" ref="BC12">SUMPRODUCT(
  (RIGHT([2]Запрос1!$E$2:$E$2465,4) = RIGHT(A12,4)) *
  ([2]Запрос1!$A$2:$A$2465 &gt;= $B$1) *
  ([2]Запрос1!$A$2:$A$2465 &lt;= $B$2) *
[2]Запрос1!$I$2:$I$2465
)*AM12</f>
        <v>1471.2</v>
      </c>
      <c r="BD12" s="142"/>
      <c r="BE12" s="142"/>
      <c r="BF12" s="142"/>
      <c r="BG12" s="143" cm="1">
        <f t="array" ref="BG12">SUMPRODUCT(
    --(RIGHT([3]Запрос1!$C$2:$C$5232,4) = RIGHT(A12,4)),
    --([3]Запрос1!$E$2:$E$5232 &gt;= $B$1),
    --([3]Запрос1!$E$2:$E$5232 &lt;= $B$2)
)*AN12</f>
        <v>0</v>
      </c>
      <c r="BH12" s="143"/>
      <c r="BI12" s="143"/>
      <c r="BJ12" s="143"/>
      <c r="BK12" s="101" cm="1">
        <f t="array" ref="BK12">SUMPRODUCT(
(RIGHT([4]Запрос1!$E$2:$E$5389,4)=RIGHT(A12,4))*
([4]Запрос1!$A$2:$A$5389&gt;=$B$1)*
([4]Запрос1!$A$2:$A$5389&lt;=$B$2)*
[4]Запрос1!$J$2:$J$5389
)*0.01</f>
        <v>0</v>
      </c>
      <c r="BL12" s="142"/>
      <c r="BM12" s="142"/>
      <c r="BN12" s="142"/>
      <c r="BO12" s="101" cm="1">
        <f t="array" ref="BO12">SUMPRODUCT(
  (RIGHT([5]Запрос1!$E$2:$E$5270,4) = RIGHT(A12,4)) *
  ([5]Запрос1!$A$2:$A$5270 &gt;= $B$1) *
  ([5]Запрос1!$A$2:$A$5270 &lt;= $B$2) *
[5]Запрос1!$I$2:$I$5270
)*0.25</f>
        <v>0</v>
      </c>
      <c r="BP12" s="142"/>
      <c r="BQ12" s="142"/>
      <c r="BR12" s="142"/>
      <c r="BS12" s="97"/>
      <c r="BT12" s="146"/>
      <c r="BU12" s="146"/>
      <c r="BV12" s="146"/>
      <c r="BW12" s="101">
        <f t="shared" si="5"/>
        <v>0</v>
      </c>
      <c r="BX12" s="142"/>
      <c r="BY12" s="142"/>
      <c r="BZ12" s="142"/>
      <c r="CA12" s="97"/>
      <c r="CB12" s="146"/>
      <c r="CC12" s="146"/>
      <c r="CD12" s="147"/>
      <c r="CE12" s="148">
        <f t="shared" si="6"/>
        <v>52019.899999999994</v>
      </c>
      <c r="CF12" s="146"/>
      <c r="CG12" s="146"/>
      <c r="CH12" s="146"/>
      <c r="CI12" s="97"/>
      <c r="CJ12" s="146"/>
      <c r="CK12" s="146"/>
      <c r="CL12" s="146"/>
      <c r="CM12" s="152"/>
      <c r="CN12" s="146"/>
      <c r="CO12" s="146"/>
      <c r="CP12" s="153"/>
      <c r="CQ12" s="154">
        <f t="shared" si="7"/>
        <v>52019.9</v>
      </c>
      <c r="CR12" s="99"/>
      <c r="CS12" s="99"/>
      <c r="CT12" s="100"/>
      <c r="CU12" s="165">
        <f t="shared" si="3"/>
        <v>0</v>
      </c>
      <c r="CV12" s="93"/>
      <c r="CW12" s="106"/>
    </row>
    <row r="13" spans="1:106" ht="20.100000000000001" customHeight="1" thickBot="1" x14ac:dyDescent="0.3">
      <c r="A13" s="15" t="s">
        <v>50</v>
      </c>
      <c r="B13" s="10"/>
      <c r="C13" s="71"/>
      <c r="D13" s="17" t="s">
        <v>49</v>
      </c>
      <c r="E13" s="17" t="s">
        <v>49</v>
      </c>
      <c r="F13" s="17"/>
      <c r="G13" s="17"/>
      <c r="H13" s="17" t="s">
        <v>49</v>
      </c>
      <c r="I13" s="17" t="s">
        <v>49</v>
      </c>
      <c r="J13" s="17"/>
      <c r="K13" s="17"/>
      <c r="L13" s="17" t="s">
        <v>49</v>
      </c>
      <c r="M13" s="17" t="s">
        <v>49</v>
      </c>
      <c r="N13" s="17"/>
      <c r="O13" s="17"/>
      <c r="P13" s="17" t="s">
        <v>49</v>
      </c>
      <c r="Q13" s="17" t="s">
        <v>49</v>
      </c>
      <c r="R13" s="17"/>
      <c r="S13" s="17"/>
      <c r="T13" s="17" t="s">
        <v>49</v>
      </c>
      <c r="U13" s="17" t="s">
        <v>49</v>
      </c>
      <c r="V13" s="17"/>
      <c r="W13" s="17"/>
      <c r="X13" s="17" t="s">
        <v>49</v>
      </c>
      <c r="Y13" s="17" t="s">
        <v>49</v>
      </c>
      <c r="Z13" s="17"/>
      <c r="AA13" s="17"/>
      <c r="AB13" s="17" t="s">
        <v>49</v>
      </c>
      <c r="AC13" s="17" t="s">
        <v>49</v>
      </c>
      <c r="AD13" s="17"/>
      <c r="AE13" s="17"/>
      <c r="AF13" s="17" t="s">
        <v>49</v>
      </c>
      <c r="AG13" s="25" t="s">
        <v>49</v>
      </c>
      <c r="AH13" s="131">
        <v>3350</v>
      </c>
      <c r="AI13" s="97"/>
      <c r="AJ13" s="97">
        <v>3850</v>
      </c>
      <c r="AK13" s="132"/>
      <c r="AL13" s="21">
        <v>0.02</v>
      </c>
      <c r="AM13" s="22">
        <v>0.08</v>
      </c>
      <c r="AN13" s="23">
        <v>1000</v>
      </c>
      <c r="AO13" s="163">
        <f t="shared" si="0"/>
        <v>15</v>
      </c>
      <c r="AP13" s="146"/>
      <c r="AQ13" s="164">
        <f t="shared" si="1"/>
        <v>1</v>
      </c>
      <c r="AR13" s="146"/>
      <c r="AS13" s="167">
        <f t="shared" ref="AS13:AS17" si="9">COUNTIF(C13:AG13, "М")+COUNTIF(C13:AG13, "Ц")+COUNTIF(C13:AG13, "П")+COUNTIF(C13:AG13, "Ох")+COUNTIF(C13:AG13, "Оз")+COUNTIF(C13:AG13, "А")+COUNTIF(C13:AG13, "Р")+(COUNTIF(C13:AG13, "05М")/2)+(COUNTIF(C13:AG13, "05Ц")/2)+(COUNTIF(C13:AG13, "05П")/2)+(COUNTIF(C13:AG13, "05Ох")/2)+(COUNTIF(C13:AG13, "05Оз")/2)+(COUNTIF(C13:AG13, "05А")/2)+(COUNTIF(C13:AG13, "05Р")/2)</f>
        <v>16</v>
      </c>
      <c r="AT13" s="147"/>
      <c r="AU13" s="162">
        <f t="shared" si="4"/>
        <v>54100</v>
      </c>
      <c r="AV13" s="146"/>
      <c r="AW13" s="146"/>
      <c r="AX13" s="147"/>
      <c r="AY13" s="141" cm="1">
        <f t="array" ref="AY13">SUMPRODUCT(
(RIGHT([1]Запрос1!$D$2:$D$43198,4)=RIGHT(A13,4))*
([1]Запрос1!$A$2:$A$43198&gt;=$B$1)*
([1]Запрос1!$A$2:$A$43198&lt;=$B$2)*
[1]Запрос1!$F$2:$F$43198)*AL13</f>
        <v>2784.2200000000003</v>
      </c>
      <c r="AZ13" s="142"/>
      <c r="BA13" s="142"/>
      <c r="BB13" s="142"/>
      <c r="BC13" s="101" cm="1">
        <f t="array" ref="BC13">SUMPRODUCT(
  (RIGHT([2]Запрос1!$E$2:$E$2465,4) = RIGHT(A13,4)) *
  ([2]Запрос1!$A$2:$A$2465 &gt;= $B$1) *
  ([2]Запрос1!$A$2:$A$2465 &lt;= $B$2) *
[2]Запрос1!$I$2:$I$2465
)*AM13</f>
        <v>1111.2</v>
      </c>
      <c r="BD13" s="142"/>
      <c r="BE13" s="142"/>
      <c r="BF13" s="142"/>
      <c r="BG13" s="143" cm="1">
        <f t="array" ref="BG13">SUMPRODUCT(
    --(RIGHT([3]Запрос1!$C$2:$C$5232,4) = RIGHT(A13,4)),
    --([3]Запрос1!$E$2:$E$5232 &gt;= $B$1),
    --([3]Запрос1!$E$2:$E$5232 &lt;= $B$2)
)*AN13</f>
        <v>0</v>
      </c>
      <c r="BH13" s="143"/>
      <c r="BI13" s="143"/>
      <c r="BJ13" s="143"/>
      <c r="BK13" s="101" cm="1">
        <f t="array" ref="BK13">SUMPRODUCT(
(RIGHT([4]Запрос1!$E$2:$E$5389,4)=RIGHT(A13,4))*
([4]Запрос1!$A$2:$A$5389&gt;=$B$1)*
([4]Запрос1!$A$2:$A$5389&lt;=$B$2)*
[4]Запрос1!$J$2:$J$5389
)*0.01</f>
        <v>0</v>
      </c>
      <c r="BL13" s="142"/>
      <c r="BM13" s="142"/>
      <c r="BN13" s="142"/>
      <c r="BO13" s="101" cm="1">
        <f t="array" ref="BO13">SUMPRODUCT(
  (RIGHT([5]Запрос1!$E$2:$E$5270,4) = RIGHT(A13,4)) *
  ([5]Запрос1!$A$2:$A$5270 &gt;= $B$1) *
  ([5]Запрос1!$A$2:$A$5270 &lt;= $B$2) *
[5]Запрос1!$I$2:$I$5270
)*0.25</f>
        <v>0</v>
      </c>
      <c r="BP13" s="142"/>
      <c r="BQ13" s="142"/>
      <c r="BR13" s="142"/>
      <c r="BS13" s="97"/>
      <c r="BT13" s="146"/>
      <c r="BU13" s="146"/>
      <c r="BV13" s="146"/>
      <c r="BW13" s="101">
        <f t="shared" si="5"/>
        <v>0</v>
      </c>
      <c r="BX13" s="142"/>
      <c r="BY13" s="142"/>
      <c r="BZ13" s="142"/>
      <c r="CA13" s="97"/>
      <c r="CB13" s="146"/>
      <c r="CC13" s="146"/>
      <c r="CD13" s="147"/>
      <c r="CE13" s="148">
        <f t="shared" si="6"/>
        <v>57995.42</v>
      </c>
      <c r="CF13" s="146"/>
      <c r="CG13" s="146"/>
      <c r="CH13" s="146"/>
      <c r="CI13" s="97"/>
      <c r="CJ13" s="146"/>
      <c r="CK13" s="146"/>
      <c r="CL13" s="146"/>
      <c r="CM13" s="97"/>
      <c r="CN13" s="146"/>
      <c r="CO13" s="146"/>
      <c r="CP13" s="153"/>
      <c r="CQ13" s="154">
        <f t="shared" si="7"/>
        <v>57995.42</v>
      </c>
      <c r="CR13" s="99"/>
      <c r="CS13" s="99"/>
      <c r="CT13" s="100"/>
      <c r="CU13" s="148">
        <f t="shared" si="3"/>
        <v>500</v>
      </c>
      <c r="CV13" s="93"/>
      <c r="CW13" s="106"/>
    </row>
    <row r="14" spans="1:106" ht="19.5" customHeight="1" thickBot="1" x14ac:dyDescent="0.3">
      <c r="A14" s="15" t="s">
        <v>46</v>
      </c>
      <c r="B14" s="10"/>
      <c r="C14" s="71"/>
      <c r="D14" s="17" t="s">
        <v>42</v>
      </c>
      <c r="E14" s="17"/>
      <c r="F14" s="17"/>
      <c r="G14" s="17" t="s">
        <v>42</v>
      </c>
      <c r="H14" s="17"/>
      <c r="I14" s="17"/>
      <c r="J14" s="17" t="s">
        <v>42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 t="s">
        <v>42</v>
      </c>
      <c r="Z14" s="17"/>
      <c r="AA14" s="17"/>
      <c r="AB14" s="17"/>
      <c r="AC14" s="17"/>
      <c r="AD14" s="17"/>
      <c r="AE14" s="17"/>
      <c r="AF14" s="17"/>
      <c r="AG14" s="25"/>
      <c r="AH14" s="158">
        <v>4500</v>
      </c>
      <c r="AI14" s="152"/>
      <c r="AJ14" s="152">
        <v>4500</v>
      </c>
      <c r="AK14" s="159"/>
      <c r="AL14" s="18">
        <v>0</v>
      </c>
      <c r="AM14" s="19">
        <v>0</v>
      </c>
      <c r="AN14" s="20">
        <v>0</v>
      </c>
      <c r="AO14" s="160">
        <f t="shared" si="0"/>
        <v>4</v>
      </c>
      <c r="AP14" s="146"/>
      <c r="AQ14" s="161">
        <f t="shared" si="1"/>
        <v>0</v>
      </c>
      <c r="AR14" s="146"/>
      <c r="AS14" s="166">
        <f t="shared" si="9"/>
        <v>4</v>
      </c>
      <c r="AT14" s="147"/>
      <c r="AU14" s="162">
        <f t="shared" si="4"/>
        <v>18000</v>
      </c>
      <c r="AV14" s="146"/>
      <c r="AW14" s="146"/>
      <c r="AX14" s="147"/>
      <c r="AY14" s="141" cm="1">
        <f t="array" ref="AY14">SUMPRODUCT(
(RIGHT([1]Запрос1!$D$2:$D$43198,4)=RIGHT(A14,4))*
([1]Запрос1!$A$2:$A$43198&gt;=$B$1)*
([1]Запрос1!$A$2:$A$43198&lt;=$B$2)*
[1]Запрос1!$F$2:$F$43198)*AL14</f>
        <v>0</v>
      </c>
      <c r="AZ14" s="142"/>
      <c r="BA14" s="142"/>
      <c r="BB14" s="142"/>
      <c r="BC14" s="101" cm="1">
        <f t="array" ref="BC14">SUMPRODUCT(
  (RIGHT([2]Запрос1!$E$2:$E$2465,4) = RIGHT(A14,4)) *
  ([2]Запрос1!$A$2:$A$2465 &gt;= $B$1) *
  ([2]Запрос1!$A$2:$A$2465 &lt;= $B$2) *
[2]Запрос1!$I$2:$I$2465
)*AM14</f>
        <v>0</v>
      </c>
      <c r="BD14" s="142"/>
      <c r="BE14" s="142"/>
      <c r="BF14" s="142"/>
      <c r="BG14" s="143" cm="1">
        <f t="array" ref="BG14">SUMPRODUCT(
    --(RIGHT([3]Запрос1!$C$2:$C$5232,4) = RIGHT(A14,4)),
    --([3]Запрос1!$E$2:$E$5232 &gt;= $B$1),
    --([3]Запрос1!$E$2:$E$5232 &lt;= $B$2)
)*AN14</f>
        <v>0</v>
      </c>
      <c r="BH14" s="143"/>
      <c r="BI14" s="143"/>
      <c r="BJ14" s="143"/>
      <c r="BK14" s="101" cm="1">
        <f t="array" ref="BK14">SUMPRODUCT(
(RIGHT([4]Запрос1!$E$2:$E$5389,4)=RIGHT(A14,4))*
([4]Запрос1!$A$2:$A$5389&gt;=$B$1)*
([4]Запрос1!$A$2:$A$5389&lt;=$B$2)*
[4]Запрос1!$J$2:$J$5389
)*0.01</f>
        <v>0</v>
      </c>
      <c r="BL14" s="142"/>
      <c r="BM14" s="142"/>
      <c r="BN14" s="142"/>
      <c r="BO14" s="101">
        <v>0</v>
      </c>
      <c r="BP14" s="142"/>
      <c r="BQ14" s="142"/>
      <c r="BR14" s="142"/>
      <c r="BS14" s="97"/>
      <c r="BT14" s="146"/>
      <c r="BU14" s="146"/>
      <c r="BV14" s="146"/>
      <c r="BW14" s="101">
        <f t="shared" si="5"/>
        <v>0</v>
      </c>
      <c r="BX14" s="142"/>
      <c r="BY14" s="142"/>
      <c r="BZ14" s="142"/>
      <c r="CA14" s="97"/>
      <c r="CB14" s="146"/>
      <c r="CC14" s="146"/>
      <c r="CD14" s="147"/>
      <c r="CE14" s="148">
        <f t="shared" si="6"/>
        <v>18000</v>
      </c>
      <c r="CF14" s="146"/>
      <c r="CG14" s="146"/>
      <c r="CH14" s="146"/>
      <c r="CI14" s="97"/>
      <c r="CJ14" s="146"/>
      <c r="CK14" s="146"/>
      <c r="CL14" s="146"/>
      <c r="CM14" s="152"/>
      <c r="CN14" s="146"/>
      <c r="CO14" s="146"/>
      <c r="CP14" s="153"/>
      <c r="CQ14" s="154">
        <f t="shared" si="7"/>
        <v>18000</v>
      </c>
      <c r="CR14" s="99"/>
      <c r="CS14" s="99"/>
      <c r="CT14" s="100"/>
      <c r="CU14" s="165">
        <f t="shared" si="3"/>
        <v>0</v>
      </c>
      <c r="CV14" s="93"/>
      <c r="CW14" s="106"/>
    </row>
    <row r="15" spans="1:106" ht="19.5" customHeight="1" thickBot="1" x14ac:dyDescent="0.3">
      <c r="A15" s="15" t="s">
        <v>47</v>
      </c>
      <c r="B15" s="10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 t="s">
        <v>42</v>
      </c>
      <c r="W15" s="17"/>
      <c r="X15" s="17"/>
      <c r="Y15" s="17"/>
      <c r="Z15" s="17"/>
      <c r="AA15" s="17"/>
      <c r="AB15" s="17"/>
      <c r="AC15" s="17"/>
      <c r="AD15" s="17" t="s">
        <v>42</v>
      </c>
      <c r="AE15" s="17"/>
      <c r="AF15" s="17"/>
      <c r="AG15" s="25"/>
      <c r="AH15" s="131">
        <v>4500</v>
      </c>
      <c r="AI15" s="97"/>
      <c r="AJ15" s="97">
        <v>4500</v>
      </c>
      <c r="AK15" s="132"/>
      <c r="AL15" s="21">
        <v>0</v>
      </c>
      <c r="AM15" s="22">
        <v>0</v>
      </c>
      <c r="AN15" s="23">
        <v>0</v>
      </c>
      <c r="AO15" s="163">
        <f t="shared" si="0"/>
        <v>2</v>
      </c>
      <c r="AP15" s="146"/>
      <c r="AQ15" s="164">
        <f t="shared" si="1"/>
        <v>0</v>
      </c>
      <c r="AR15" s="146"/>
      <c r="AS15" s="167">
        <f t="shared" si="9"/>
        <v>2</v>
      </c>
      <c r="AT15" s="147"/>
      <c r="AU15" s="162">
        <f t="shared" si="4"/>
        <v>9000</v>
      </c>
      <c r="AV15" s="146"/>
      <c r="AW15" s="146"/>
      <c r="AX15" s="147"/>
      <c r="AY15" s="141" cm="1">
        <f t="array" ref="AY15">SUMPRODUCT(
(RIGHT([1]Запрос1!$D$2:$D$43198,4)=RIGHT(A15,4))*
([1]Запрос1!$A$2:$A$43198&gt;=$B$1)*
([1]Запрос1!$A$2:$A$43198&lt;=$B$2)*
[1]Запрос1!$F$2:$F$43198)*AL15</f>
        <v>0</v>
      </c>
      <c r="AZ15" s="142"/>
      <c r="BA15" s="142"/>
      <c r="BB15" s="142"/>
      <c r="BC15" s="101" cm="1">
        <f t="array" ref="BC15">SUMPRODUCT(
  (RIGHT([2]Запрос1!$E$2:$E$2465,4) = RIGHT(A15,4)) *
  ([2]Запрос1!$A$2:$A$2465 &gt;= $B$1) *
  ([2]Запрос1!$A$2:$A$2465 &lt;= $B$2) *
[2]Запрос1!$I$2:$I$2465
)*AM15</f>
        <v>0</v>
      </c>
      <c r="BD15" s="142"/>
      <c r="BE15" s="142"/>
      <c r="BF15" s="142"/>
      <c r="BG15" s="143" cm="1">
        <f t="array" ref="BG15">SUMPRODUCT(
    --(RIGHT([3]Запрос1!$C$2:$C$5232,4) = RIGHT(A15,4)),
    --([3]Запрос1!$E$2:$E$5232 &gt;= $B$1),
    --([3]Запрос1!$E$2:$E$5232 &lt;= $B$2)
)*AN15</f>
        <v>0</v>
      </c>
      <c r="BH15" s="143"/>
      <c r="BI15" s="143"/>
      <c r="BJ15" s="143"/>
      <c r="BK15" s="101" cm="1">
        <f t="array" ref="BK15">SUMPRODUCT(
(RIGHT([4]Запрос1!$E$2:$E$5389,4)=RIGHT(A15,4))*
([4]Запрос1!$A$2:$A$5389&gt;=$B$1)*
([4]Запрос1!$A$2:$A$5389&lt;=$B$2)*
[4]Запрос1!$J$2:$J$5389
)*0.01</f>
        <v>0</v>
      </c>
      <c r="BL15" s="142"/>
      <c r="BM15" s="142"/>
      <c r="BN15" s="142"/>
      <c r="BO15" s="101" cm="1">
        <f t="array" ref="BO15">SUMPRODUCT(
  (RIGHT([5]Запрос1!$E$2:$E$5270,4) = RIGHT(A15,4)) *
  ([5]Запрос1!$A$2:$A$5270 &gt;= $B$1) *
  ([5]Запрос1!$A$2:$A$5270 &lt;= $B$2) *
[5]Запрос1!$I$2:$I$5270
)*0.25</f>
        <v>0</v>
      </c>
      <c r="BP15" s="142"/>
      <c r="BQ15" s="142"/>
      <c r="BR15" s="142"/>
      <c r="BS15" s="97"/>
      <c r="BT15" s="146"/>
      <c r="BU15" s="146"/>
      <c r="BV15" s="146"/>
      <c r="BW15" s="101">
        <f>IF(AND(C15="Ц",COUNTIF($C$3:$C$21,"Ц")=1),1000,0) +
IF(AND(D15="Ц",COUNTIF($D$3:$D$21,"Ц")=1),1000,0) +
IF(AND(E15="Ц",COUNTIF($E$3:$E$21,"Ц")=1),1000,0) +
IF(AND(F15="Ц",COUNTIF($F$3:$F$21,"Ц")=1),1000,0) +
IF(AND(G15="Ц",COUNTIF($G$3:$G$21,"Ц")=1),1000,0) +
IF(AND(H15="Ц",COUNTIF($H$3:$H$21,"Ц")=1),1000,0) +
IF(AND(I15="Ц",COUNTIF($I$3:$I$21,"Ц")=1),1000,0) +
IF(AND(J15="Ц",COUNTIF($J$3:$J$21,"Ц")=1),1000,0) +
IF(AND(K15="Ц",COUNTIF($K$3:$K$21,"Ц")=1),1000,0) +
IF(AND(L15="Ц",COUNTIF($L$3:$L$21,"Ц")=1),1000,0) +
IF(AND(M15="Ц",COUNTIF($M$3:$M$21,"Ц")=1),1000,0) +
IF(AND(N15="Ц",COUNTIF($N$3:$N$21,"Ц")=1),1000,0) +
IF(AND(O15="Ц",COUNTIF($O$3:$O$21,"Ц")=1),1000,0) +
IF(AND(P15="Ц",COUNTIF($P$3:$P$21,"Ц")=1),1000,0) +
IF(AND(Q15="Ц",COUNTIF($Q$3:$Q$21,"Ц")=1),1000,0) +
IF(AND(R15="Ц",COUNTIF($R$3:$R$21,"Ц")=1),1000,0) +
IF(AND(S15="Ц",COUNTIF($S$3:$S$21,"Ц")=1),1000,0) +
IF(AND(T15="Ц",COUNTIF($T$3:$T$21,"Ц")=1),1000,0) +
IF(AND(U15="Ц",COUNTIF($U$3:$U$21,"Ц")=1),1000,0) +
IF(AND(V15="Ц",COUNTIF($V$3:$V$21,"Ц")=1),1000,0) +
IF(AND(W15="Ц",COUNTIF($W$3:$W$21,"Ц")=1),1000,0) +
IF(AND(X15="Ц",COUNTIF($X$3:$X$21,"Ц")=1),1000,0) +
IF(AND(Y15="Ц",COUNTIF($Y$3:$Y$21,"Ц")=1),1000,0) +
IF(AND(Z15="Ц",COUNTIF($Z$3:$Z$21,"Ц")=1),1000,0) +
IF(AND(AA15="Ц",COUNTIF($AA$3:$AA$21,"Ц")=1),1000,0) +
IF(AND(AB15="Ц",COUNTIF($AB$3:$AB$21,"Ц")=1),1000,0) +
IF(AND(AC15="Ц",COUNTIF($AC$3:$AC$21,"Ц")=1),1000,0) +
IF(AND(AD15="Ц",COUNTIF($AD$3:$AD$21,"Ц")=1),1000,0) +
IF(AND(AE15="Ц",COUNTIF($AE$3:$AE$21,"Ц")=1),1000,0) +
IF(AND(AF15="Ц",COUNTIF($AF$3:$AF$21,"Ц")=1),1000,0) +
IF(AND(AG15="Ц",COUNTIF($AG$3:$AG$21,"Ц")=1),1000,0)</f>
        <v>0</v>
      </c>
      <c r="BX15" s="142"/>
      <c r="BY15" s="142"/>
      <c r="BZ15" s="142"/>
      <c r="CA15" s="97"/>
      <c r="CB15" s="146"/>
      <c r="CC15" s="146"/>
      <c r="CD15" s="147"/>
      <c r="CE15" s="148">
        <f t="shared" si="6"/>
        <v>9000</v>
      </c>
      <c r="CF15" s="146"/>
      <c r="CG15" s="146"/>
      <c r="CH15" s="146"/>
      <c r="CI15" s="97"/>
      <c r="CJ15" s="146"/>
      <c r="CK15" s="146"/>
      <c r="CL15" s="146"/>
      <c r="CM15" s="97"/>
      <c r="CN15" s="146"/>
      <c r="CO15" s="146"/>
      <c r="CP15" s="153"/>
      <c r="CQ15" s="154">
        <f t="shared" si="7"/>
        <v>9000</v>
      </c>
      <c r="CR15" s="99"/>
      <c r="CS15" s="99"/>
      <c r="CT15" s="100"/>
      <c r="CU15" s="148">
        <f t="shared" si="3"/>
        <v>0</v>
      </c>
      <c r="CV15" s="93"/>
      <c r="CW15" s="106"/>
    </row>
    <row r="16" spans="1:106" ht="20.100000000000001" customHeight="1" thickBot="1" x14ac:dyDescent="0.3">
      <c r="A16" s="26"/>
      <c r="B16" s="10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25"/>
      <c r="AH16" s="158"/>
      <c r="AI16" s="152"/>
      <c r="AJ16" s="152"/>
      <c r="AK16" s="159"/>
      <c r="AL16" s="18"/>
      <c r="AM16" s="19"/>
      <c r="AN16" s="20"/>
      <c r="AO16" s="160">
        <f t="shared" si="0"/>
        <v>0</v>
      </c>
      <c r="AP16" s="146"/>
      <c r="AQ16" s="161">
        <f t="shared" si="1"/>
        <v>0</v>
      </c>
      <c r="AR16" s="146"/>
      <c r="AS16" s="166">
        <f t="shared" si="9"/>
        <v>0</v>
      </c>
      <c r="AT16" s="147"/>
      <c r="AU16" s="162">
        <f t="shared" si="4"/>
        <v>0</v>
      </c>
      <c r="AV16" s="146"/>
      <c r="AW16" s="146"/>
      <c r="AX16" s="147"/>
      <c r="AY16" s="141" cm="1">
        <f t="array" ref="AY16">SUMPRODUCT(
(RIGHT([1]Запрос1!$D$2:$D$43198,4)=RIGHT(A16,4))*
([1]Запрос1!$A$2:$A$43198&gt;=$B$1)*
([1]Запрос1!$A$2:$A$43198&lt;=$B$2)*
[1]Запрос1!$F$2:$F$43198)*AL16</f>
        <v>0</v>
      </c>
      <c r="AZ16" s="142"/>
      <c r="BA16" s="142"/>
      <c r="BB16" s="142"/>
      <c r="BC16" s="101" cm="1">
        <f t="array" ref="BC16">SUMPRODUCT(
  (RIGHT([2]Запрос1!$E$2:$E$2465,4) = RIGHT(A16,4)) *
  ([2]Запрос1!$A$2:$A$2465 &gt;= $B$1) *
  ([2]Запрос1!$A$2:$A$2465 &lt;= $B$2) *
[2]Запрос1!$I$2:$I$2465
)*AM16</f>
        <v>0</v>
      </c>
      <c r="BD16" s="142"/>
      <c r="BE16" s="142"/>
      <c r="BF16" s="142"/>
      <c r="BG16" s="143" cm="1">
        <f t="array" ref="BG16">SUMPRODUCT(
    --(RIGHT([3]Запрос1!$C$2:$C$5232,4) = RIGHT(A16,4)),
    --([3]Запрос1!$E$2:$E$5232 &gt;= $B$1),
    --([3]Запрос1!$E$2:$E$5232 &lt;= $B$2)
)*AN16</f>
        <v>0</v>
      </c>
      <c r="BH16" s="143"/>
      <c r="BI16" s="143"/>
      <c r="BJ16" s="143"/>
      <c r="BK16" s="101" cm="1">
        <f t="array" ref="BK16">SUMPRODUCT(
(RIGHT([4]Запрос1!$E$2:$E$5389,4)=RIGHT(A16,4))*
([4]Запрос1!$A$2:$A$5389&gt;=$B$1)*
([4]Запрос1!$A$2:$A$5389&lt;=$B$2)*
[4]Запрос1!$J$2:$J$5389
)*0.01</f>
        <v>0</v>
      </c>
      <c r="BL16" s="142"/>
      <c r="BM16" s="142"/>
      <c r="BN16" s="142"/>
      <c r="BO16" s="101" cm="1">
        <f t="array" ref="BO16">SUMPRODUCT(
  (RIGHT([5]Запрос1!$E$2:$E$5270,4) = RIGHT(A16,4)) *
  ([5]Запрос1!$A$2:$A$5270 &gt;= $B$1) *
  ([5]Запрос1!$A$2:$A$5270 &lt;= $B$2) *
[5]Запрос1!$I$2:$I$5270
)*0.25</f>
        <v>0</v>
      </c>
      <c r="BP16" s="142"/>
      <c r="BQ16" s="142"/>
      <c r="BR16" s="142"/>
      <c r="BS16" s="97"/>
      <c r="BT16" s="146"/>
      <c r="BU16" s="146"/>
      <c r="BV16" s="146"/>
      <c r="BW16" s="101">
        <f t="shared" ref="BW16:BW21" si="10">IF(AND(C16="Ц",COUNTIF($C$3:$C$21,"Ц")=1),1000,0) +
IF(AND(D16="Ц",COUNTIF($D$3:$D$21,"Ц")=1),1000,0) +
IF(AND(E16="Ц",COUNTIF($E$3:$E$21,"Ц")=1),1000,0) +
IF(AND(F16="Ц",COUNTIF($F$3:$F$21,"Ц")=1),1000,0) +
IF(AND(G16="Ц",COUNTIF($G$3:$G$21,"Ц")=1),1000,0) +
IF(AND(H16="Ц",COUNTIF($H$3:$H$21,"Ц")=1),1000,0) +
IF(AND(I16="Ц",COUNTIF($I$3:$I$21,"Ц")=1),1000,0) +
IF(AND(J16="Ц",COUNTIF($J$3:$J$21,"Ц")=1),1000,0) +
IF(AND(K16="Ц",COUNTIF($K$3:$K$21,"Ц")=1),1000,0) +
IF(AND(L16="Ц",COUNTIF($L$3:$L$21,"Ц")=1),1000,0) +
IF(AND(M16="Ц",COUNTIF($M$3:$M$21,"Ц")=1),1000,0) +
IF(AND(N16="Ц",COUNTIF($N$3:$N$21,"Ц")=1),1000,0) +
IF(AND(O16="Ц",COUNTIF($O$3:$O$21,"Ц")=1),1000,0) +
IF(AND(P16="Ц",COUNTIF($P$3:$P$21,"Ц")=1),1000,0) +
IF(AND(Q16="Ц",COUNTIF($Q$3:$Q$21,"Ц")=1),1000,0) +
IF(AND(R16="Ц",COUNTIF($R$3:$R$21,"Ц")=1),1000,0) +
IF(AND(S16="Ц",COUNTIF($S$3:$S$21,"Ц")=1),1000,0) +
IF(AND(T16="Ц",COUNTIF($T$3:$T$21,"Ц")=1),1000,0) +
IF(AND(U16="Ц",COUNTIF($U$3:$U$21,"Ц")=1),1000,0) +
IF(AND(V16="Ц",COUNTIF($V$3:$V$21,"Ц")=1),1000,0) +
IF(AND(W16="Ц",COUNTIF($W$3:$W$21,"Ц")=1),1000,0) +
IF(AND(X16="Ц",COUNTIF($X$3:$X$21,"Ц")=1),1000,0) +
IF(AND(Y16="Ц",COUNTIF($Y$3:$Y$21,"Ц")=1),1000,0) +
IF(AND(Z16="Ц",COUNTIF($Z$3:$Z$21,"Ц")=1),1000,0) +
IF(AND(AA16="Ц",COUNTIF($AA$3:$AA$21,"Ц")=1),1000,0) +
IF(AND(AB16="Ц",COUNTIF($AB$3:$AB$21,"Ц")=1),1000,0) +
IF(AND(AC16="Ц",COUNTIF($AC$3:$AC$21,"Ц")=1),1000,0) +
IF(AND(AD16="Ц",COUNTIF($AD$3:$AD$21,"Ц")=1),1000,0) +
IF(AND(AE16="Ц",COUNTIF($AE$3:$AE$21,"Ц")=1),1000,0) +
IF(AND(AF16="Ц",COUNTIF($AF$3:$AF$21,"Ц")=1),1000,0) +
IF(AND(AG16="Ц",COUNTIF($AG$3:$AG$21,"Ц")=1),1000,0)</f>
        <v>0</v>
      </c>
      <c r="BX16" s="142"/>
      <c r="BY16" s="142"/>
      <c r="BZ16" s="142"/>
      <c r="CA16" s="152"/>
      <c r="CB16" s="146"/>
      <c r="CC16" s="146"/>
      <c r="CD16" s="147"/>
      <c r="CE16" s="148">
        <f t="shared" si="6"/>
        <v>0</v>
      </c>
      <c r="CF16" s="146"/>
      <c r="CG16" s="146"/>
      <c r="CH16" s="146"/>
      <c r="CI16" s="97"/>
      <c r="CJ16" s="146"/>
      <c r="CK16" s="146"/>
      <c r="CL16" s="146"/>
      <c r="CM16" s="152"/>
      <c r="CN16" s="146"/>
      <c r="CO16" s="146"/>
      <c r="CP16" s="153"/>
      <c r="CQ16" s="154">
        <f t="shared" si="7"/>
        <v>0</v>
      </c>
      <c r="CR16" s="99"/>
      <c r="CS16" s="99"/>
      <c r="CT16" s="100"/>
      <c r="CU16" s="165">
        <f t="shared" si="3"/>
        <v>0</v>
      </c>
      <c r="CV16" s="93"/>
      <c r="CW16" s="106"/>
      <c r="DB16" s="27" t="s">
        <v>53</v>
      </c>
    </row>
    <row r="17" spans="1:101" ht="20.100000000000001" customHeight="1" thickBot="1" x14ac:dyDescent="0.3">
      <c r="A17" s="26"/>
      <c r="B17" s="10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24"/>
      <c r="AH17" s="131"/>
      <c r="AI17" s="97"/>
      <c r="AJ17" s="97"/>
      <c r="AK17" s="132"/>
      <c r="AL17" s="21"/>
      <c r="AM17" s="22"/>
      <c r="AN17" s="23"/>
      <c r="AO17" s="160">
        <f t="shared" si="0"/>
        <v>0</v>
      </c>
      <c r="AP17" s="146"/>
      <c r="AQ17" s="161">
        <f t="shared" si="1"/>
        <v>0</v>
      </c>
      <c r="AR17" s="146"/>
      <c r="AS17" s="166">
        <f t="shared" si="9"/>
        <v>0</v>
      </c>
      <c r="AT17" s="147"/>
      <c r="AU17" s="162">
        <f t="shared" si="4"/>
        <v>0</v>
      </c>
      <c r="AV17" s="146"/>
      <c r="AW17" s="146"/>
      <c r="AX17" s="147"/>
      <c r="AY17" s="141" cm="1">
        <f t="array" ref="AY17">SUMPRODUCT(
(RIGHT([1]Запрос1!$D$2:$D$43198,4)=RIGHT(A17,4))*
([1]Запрос1!$A$2:$A$43198&gt;=$B$1)*
([1]Запрос1!$A$2:$A$43198&lt;=$B$2)*
[1]Запрос1!$F$2:$F$43198)*AL17</f>
        <v>0</v>
      </c>
      <c r="AZ17" s="142"/>
      <c r="BA17" s="142"/>
      <c r="BB17" s="142"/>
      <c r="BC17" s="101" cm="1">
        <f t="array" ref="BC17">SUMPRODUCT(
  (RIGHT([2]Запрос1!$E$2:$E$2465,4) = RIGHT(A17,4)) *
  ([2]Запрос1!$A$2:$A$2465 &gt;= $B$1) *
  ([2]Запрос1!$A$2:$A$2465 &lt;= $B$2) *
[2]Запрос1!$I$2:$I$2465
)*AM17</f>
        <v>0</v>
      </c>
      <c r="BD17" s="142"/>
      <c r="BE17" s="142"/>
      <c r="BF17" s="142"/>
      <c r="BG17" s="143" cm="1">
        <f t="array" ref="BG17">SUMPRODUCT(
    --(RIGHT([3]Запрос1!$C$2:$C$5232,4) = RIGHT(A17,4)),
    --([3]Запрос1!$E$2:$E$5232 &gt;= $B$1),
    --([3]Запрос1!$E$2:$E$5232 &lt;= $B$2)
)*AN17</f>
        <v>0</v>
      </c>
      <c r="BH17" s="143"/>
      <c r="BI17" s="143"/>
      <c r="BJ17" s="143"/>
      <c r="BK17" s="101" cm="1">
        <f t="array" ref="BK17">SUMPRODUCT(
(RIGHT([4]Запрос1!$E$2:$E$5389,4)=RIGHT(A17,4))*
([4]Запрос1!$A$2:$A$5389&gt;=$B$1)*
([4]Запрос1!$A$2:$A$5389&lt;=$B$2)*
[4]Запрос1!$J$2:$J$5389
)*0.01</f>
        <v>0</v>
      </c>
      <c r="BL17" s="142"/>
      <c r="BM17" s="142"/>
      <c r="BN17" s="142"/>
      <c r="BO17" s="101">
        <v>0</v>
      </c>
      <c r="BP17" s="142"/>
      <c r="BQ17" s="142"/>
      <c r="BR17" s="142"/>
      <c r="BS17" s="97"/>
      <c r="BT17" s="146"/>
      <c r="BU17" s="146"/>
      <c r="BV17" s="146"/>
      <c r="BW17" s="101">
        <f t="shared" si="10"/>
        <v>0</v>
      </c>
      <c r="BX17" s="142"/>
      <c r="BY17" s="142"/>
      <c r="BZ17" s="142"/>
      <c r="CA17" s="152"/>
      <c r="CB17" s="146"/>
      <c r="CC17" s="146"/>
      <c r="CD17" s="147"/>
      <c r="CE17" s="148">
        <f t="shared" si="6"/>
        <v>0</v>
      </c>
      <c r="CF17" s="146"/>
      <c r="CG17" s="146"/>
      <c r="CH17" s="146"/>
      <c r="CI17" s="97"/>
      <c r="CJ17" s="146"/>
      <c r="CK17" s="146"/>
      <c r="CL17" s="146"/>
      <c r="CM17" s="152"/>
      <c r="CN17" s="146"/>
      <c r="CO17" s="146"/>
      <c r="CP17" s="153"/>
      <c r="CQ17" s="154">
        <f t="shared" si="7"/>
        <v>0</v>
      </c>
      <c r="CR17" s="99"/>
      <c r="CS17" s="99"/>
      <c r="CT17" s="100"/>
      <c r="CU17" s="165">
        <f t="shared" si="3"/>
        <v>0</v>
      </c>
      <c r="CV17" s="93"/>
      <c r="CW17" s="106"/>
    </row>
    <row r="18" spans="1:101" ht="20.100000000000001" customHeight="1" thickBot="1" x14ac:dyDescent="0.3">
      <c r="A18" s="26"/>
      <c r="B18" s="10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24"/>
      <c r="AH18" s="158"/>
      <c r="AI18" s="152"/>
      <c r="AJ18" s="152"/>
      <c r="AK18" s="159"/>
      <c r="AL18" s="18"/>
      <c r="AM18" s="19"/>
      <c r="AN18" s="20"/>
      <c r="AO18" s="160">
        <v>0</v>
      </c>
      <c r="AP18" s="146"/>
      <c r="AQ18" s="161">
        <v>0</v>
      </c>
      <c r="AR18" s="146"/>
      <c r="AS18" s="166">
        <v>0</v>
      </c>
      <c r="AT18" s="147"/>
      <c r="AU18" s="162">
        <f t="shared" si="4"/>
        <v>0</v>
      </c>
      <c r="AV18" s="146"/>
      <c r="AW18" s="146"/>
      <c r="AX18" s="147"/>
      <c r="AY18" s="141" cm="1">
        <f t="array" ref="AY18">SUMPRODUCT(
(RIGHT([1]Запрос1!$D$2:$D$43198,4)=RIGHT(A18,4))*
([1]Запрос1!$A$2:$A$43198&gt;=$B$1)*
([1]Запрос1!$A$2:$A$43198&lt;=$B$2)*
[1]Запрос1!$F$2:$F$43198)*AL18</f>
        <v>0</v>
      </c>
      <c r="AZ18" s="142"/>
      <c r="BA18" s="142"/>
      <c r="BB18" s="142"/>
      <c r="BC18" s="101" cm="1">
        <f t="array" ref="BC18">SUMPRODUCT(
  (RIGHT([2]Запрос1!$E$2:$E$2465,4) = RIGHT(A18,4)) *
  ([2]Запрос1!$A$2:$A$2465 &gt;= $B$1) *
  ([2]Запрос1!$A$2:$A$2465 &lt;= $B$2) *
[2]Запрос1!$I$2:$I$2465
)*AM18</f>
        <v>0</v>
      </c>
      <c r="BD18" s="142"/>
      <c r="BE18" s="142"/>
      <c r="BF18" s="142"/>
      <c r="BG18" s="143" cm="1">
        <f t="array" ref="BG18">SUMPRODUCT(
    --(RIGHT([3]Запрос1!$C$2:$C$5232,4) = RIGHT(A18,4)),
    --([3]Запрос1!$E$2:$E$5232 &gt;= $B$1),
    --([3]Запрос1!$E$2:$E$5232 &lt;= $B$2)
)*AN18</f>
        <v>0</v>
      </c>
      <c r="BH18" s="143"/>
      <c r="BI18" s="143"/>
      <c r="BJ18" s="143"/>
      <c r="BK18" s="101" cm="1">
        <f t="array" ref="BK18">SUMPRODUCT(
(RIGHT([4]Запрос1!$E$2:$E$5389,4)=RIGHT(A18,4))*
([4]Запрос1!$A$2:$A$5389&gt;=$B$1)*
([4]Запрос1!$A$2:$A$5389&lt;=$B$2)*
[4]Запрос1!$J$2:$J$5389
)*0.01</f>
        <v>0</v>
      </c>
      <c r="BL18" s="142"/>
      <c r="BM18" s="142"/>
      <c r="BN18" s="142"/>
      <c r="BO18" s="101" cm="1">
        <f t="array" ref="BO18">SUMPRODUCT(
  (RIGHT([5]Запрос1!$E$2:$E$5270,4) = RIGHT(A18,4)) *
  ([5]Запрос1!$A$2:$A$5270 &gt;= $B$1) *
  ([5]Запрос1!$A$2:$A$5270 &lt;= $B$2) *
[5]Запрос1!$I$2:$I$5270
)*0.25</f>
        <v>0</v>
      </c>
      <c r="BP18" s="142"/>
      <c r="BQ18" s="142"/>
      <c r="BR18" s="142"/>
      <c r="BS18" s="97"/>
      <c r="BT18" s="146"/>
      <c r="BU18" s="146"/>
      <c r="BV18" s="146"/>
      <c r="BW18" s="101">
        <f t="shared" si="10"/>
        <v>0</v>
      </c>
      <c r="BX18" s="142"/>
      <c r="BY18" s="142"/>
      <c r="BZ18" s="142"/>
      <c r="CA18" s="152"/>
      <c r="CB18" s="146"/>
      <c r="CC18" s="146"/>
      <c r="CD18" s="147"/>
      <c r="CE18" s="148">
        <f t="shared" si="6"/>
        <v>0</v>
      </c>
      <c r="CF18" s="146"/>
      <c r="CG18" s="146"/>
      <c r="CH18" s="146"/>
      <c r="CI18" s="97"/>
      <c r="CJ18" s="146"/>
      <c r="CK18" s="146"/>
      <c r="CL18" s="146"/>
      <c r="CM18" s="152"/>
      <c r="CN18" s="146"/>
      <c r="CO18" s="146"/>
      <c r="CP18" s="153"/>
      <c r="CQ18" s="154">
        <f t="shared" si="7"/>
        <v>0</v>
      </c>
      <c r="CR18" s="99"/>
      <c r="CS18" s="99"/>
      <c r="CT18" s="100"/>
      <c r="CU18" s="165"/>
      <c r="CV18" s="93"/>
      <c r="CW18" s="106"/>
    </row>
    <row r="19" spans="1:101" ht="20.100000000000001" customHeight="1" thickBot="1" x14ac:dyDescent="0.3">
      <c r="A19" s="28"/>
      <c r="B19" s="10"/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 t="s">
        <v>69</v>
      </c>
      <c r="AB19" s="17"/>
      <c r="AC19" s="17"/>
      <c r="AD19" s="17"/>
      <c r="AE19" s="17"/>
      <c r="AF19" s="17"/>
      <c r="AG19" s="25"/>
      <c r="AH19" s="131"/>
      <c r="AI19" s="97"/>
      <c r="AJ19" s="97"/>
      <c r="AK19" s="132"/>
      <c r="AL19" s="21"/>
      <c r="AM19" s="22"/>
      <c r="AN19" s="23"/>
      <c r="AO19" s="163">
        <f>AS19-AQ19</f>
        <v>0</v>
      </c>
      <c r="AP19" s="146"/>
      <c r="AQ19" s="164">
        <f>IF(AS19&gt;15, AS19-15, 0)</f>
        <v>0</v>
      </c>
      <c r="AR19" s="146"/>
      <c r="AS19" s="164">
        <f>COUNTIF(C19:AG19, "М")+COUNTIF(C19:AG19, "Ц")+COUNTIF(C19:AG19, "П")+COUNTIF(C19:AG19, "Ох")+COUNTIF(C19:AG19, "Оз")+COUNTIF(C19:AG19, "А")+COUNTIF(C19:AG19, "Р")+(COUNTIF(C19:AG19, "05М")/2)+(COUNTIF(C19:AG19, "05Ц")/2)+(COUNTIF(C19:AG19, "05П")/2)+(COUNTIF(C19:AG19, "05Ох")/2)+(COUNTIF(C19:AG19, "05Оз")/2)+(COUNTIF(C19:AG19, "05А")/2)+(COUNTIF(C19:AG19, "05Р")/2)</f>
        <v>0</v>
      </c>
      <c r="AT19" s="147"/>
      <c r="AU19" s="162">
        <f t="shared" si="4"/>
        <v>0</v>
      </c>
      <c r="AV19" s="146"/>
      <c r="AW19" s="146"/>
      <c r="AX19" s="147"/>
      <c r="AY19" s="141" cm="1">
        <f t="array" ref="AY19">SUMPRODUCT(
(RIGHT([1]Запрос1!$D$2:$D$43198,4)=RIGHT(A19,4))*
([1]Запрос1!$A$2:$A$43198&gt;=$B$1)*
([1]Запрос1!$A$2:$A$43198&lt;=$B$2)*
[1]Запрос1!$F$2:$F$43198)*AL19</f>
        <v>0</v>
      </c>
      <c r="AZ19" s="142"/>
      <c r="BA19" s="142"/>
      <c r="BB19" s="142"/>
      <c r="BC19" s="101" cm="1">
        <f t="array" ref="BC19">SUMPRODUCT(
  (RIGHT([2]Запрос1!$E$2:$E$2465,4) = RIGHT(A19,4)) *
  ([2]Запрос1!$A$2:$A$2465 &gt;= $B$1) *
  ([2]Запрос1!$A$2:$A$2465 &lt;= $B$2) *
[2]Запрос1!$I$2:$I$2465
)*AM19</f>
        <v>0</v>
      </c>
      <c r="BD19" s="142"/>
      <c r="BE19" s="142"/>
      <c r="BF19" s="142"/>
      <c r="BG19" s="143" cm="1">
        <f t="array" ref="BG19">SUMPRODUCT(
    --(RIGHT([3]Запрос1!$C$2:$C$5232,4) = RIGHT(A19,4)),
    --([3]Запрос1!$E$2:$E$5232 &gt;= $B$1),
    --([3]Запрос1!$E$2:$E$5232 &lt;= $B$2)
)*AN19</f>
        <v>0</v>
      </c>
      <c r="BH19" s="143"/>
      <c r="BI19" s="143"/>
      <c r="BJ19" s="143"/>
      <c r="BK19" s="101" cm="1">
        <f t="array" ref="BK19">SUMPRODUCT(
(RIGHT([4]Запрос1!$E$2:$E$5389,4)=RIGHT(A19,4))*
([4]Запрос1!$A$2:$A$5389&gt;=$B$1)*
([4]Запрос1!$A$2:$A$5389&lt;=$B$2)*
[4]Запрос1!$J$2:$J$5389
)*0.01</f>
        <v>0</v>
      </c>
      <c r="BL19" s="142"/>
      <c r="BM19" s="142"/>
      <c r="BN19" s="142"/>
      <c r="BO19" s="101" cm="1">
        <f t="array" ref="BO19">SUMPRODUCT(
  (RIGHT([5]Запрос1!$E$2:$E$5270,4) = RIGHT(A19,4)) *
  ([5]Запрос1!$A$2:$A$5270 &gt;= $B$1) *
  ([5]Запрос1!$A$2:$A$5270 &lt;= $B$2) *
[5]Запрос1!$I$2:$I$5270
)*0.25</f>
        <v>0</v>
      </c>
      <c r="BP19" s="142"/>
      <c r="BQ19" s="142"/>
      <c r="BR19" s="142"/>
      <c r="BS19" s="97"/>
      <c r="BT19" s="146"/>
      <c r="BU19" s="146"/>
      <c r="BV19" s="146"/>
      <c r="BW19" s="101">
        <f t="shared" si="10"/>
        <v>0</v>
      </c>
      <c r="BX19" s="142"/>
      <c r="BY19" s="142"/>
      <c r="BZ19" s="142"/>
      <c r="CA19" s="97"/>
      <c r="CB19" s="146"/>
      <c r="CC19" s="146"/>
      <c r="CD19" s="147"/>
      <c r="CE19" s="148">
        <f t="shared" si="6"/>
        <v>0</v>
      </c>
      <c r="CF19" s="146"/>
      <c r="CG19" s="146"/>
      <c r="CH19" s="146"/>
      <c r="CI19" s="97"/>
      <c r="CJ19" s="146"/>
      <c r="CK19" s="146"/>
      <c r="CL19" s="146"/>
      <c r="CM19" s="97"/>
      <c r="CN19" s="146"/>
      <c r="CO19" s="146"/>
      <c r="CP19" s="153"/>
      <c r="CQ19" s="154">
        <f t="shared" si="7"/>
        <v>0</v>
      </c>
      <c r="CR19" s="99"/>
      <c r="CS19" s="99"/>
      <c r="CT19" s="100"/>
      <c r="CU19" s="144">
        <f>AJ19*AQ19-AH19*AQ19</f>
        <v>0</v>
      </c>
      <c r="CV19" s="145"/>
      <c r="CW19" s="110"/>
    </row>
    <row r="20" spans="1:101" ht="20.100000000000001" customHeight="1" thickBot="1" x14ac:dyDescent="0.3">
      <c r="A20" s="28"/>
      <c r="B20" s="29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 t="s">
        <v>68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25"/>
      <c r="AH20" s="158"/>
      <c r="AI20" s="152"/>
      <c r="AJ20" s="152"/>
      <c r="AK20" s="159"/>
      <c r="AL20" s="18"/>
      <c r="AM20" s="19"/>
      <c r="AN20" s="20"/>
      <c r="AO20" s="160">
        <f>AS20-AQ20</f>
        <v>0</v>
      </c>
      <c r="AP20" s="146"/>
      <c r="AQ20" s="161">
        <f>IF(AS20&gt;15, AS20-15, 0)</f>
        <v>0</v>
      </c>
      <c r="AR20" s="146"/>
      <c r="AS20" s="161">
        <f>COUNTIF(C20:AG20, "М")+COUNTIF(C20:AG20, "Ц")+COUNTIF(C20:AG20, "П")+COUNTIF(C20:AG20, "Ох")+COUNTIF(C20:AG20, "Оз")+COUNTIF(C20:AG20, "А")+COUNTIF(C20:AG20, "Р")+(COUNTIF(C20:AG20, "05М")/2)+(COUNTIF(C20:AG20, "05Ц")/2)+(COUNTIF(C20:AG20, "05П")/2)+(COUNTIF(C20:AG20, "05Ох")/2)+(COUNTIF(C20:AG20, "05Оз")/2)+(COUNTIF(C20:AG20, "05А")/2)+(COUNTIF(C20:AG20, "05Р")/2)</f>
        <v>0</v>
      </c>
      <c r="AT20" s="147"/>
      <c r="AU20" s="162">
        <f t="shared" si="4"/>
        <v>0</v>
      </c>
      <c r="AV20" s="146"/>
      <c r="AW20" s="146"/>
      <c r="AX20" s="147"/>
      <c r="AY20" s="141" cm="1">
        <f t="array" ref="AY20">SUMPRODUCT(
(RIGHT([1]Запрос1!$D$2:$D$43198,4)=RIGHT(A20,4))*
([1]Запрос1!$A$2:$A$43198&gt;=$B$1)*
([1]Запрос1!$A$2:$A$43198&lt;=$B$2)*
[1]Запрос1!$F$2:$F$43198)*AL20</f>
        <v>0</v>
      </c>
      <c r="AZ20" s="142"/>
      <c r="BA20" s="142"/>
      <c r="BB20" s="142"/>
      <c r="BC20" s="101" cm="1">
        <f t="array" ref="BC20">SUMPRODUCT(
  (RIGHT([2]Запрос1!$E$2:$E$2465,4) = RIGHT(A20,4)) *
  ([2]Запрос1!$A$2:$A$2465 &gt;= $B$1) *
  ([2]Запрос1!$A$2:$A$2465 &lt;= $B$2) *
[2]Запрос1!$I$2:$I$2465
)*AM20</f>
        <v>0</v>
      </c>
      <c r="BD20" s="142"/>
      <c r="BE20" s="142"/>
      <c r="BF20" s="142"/>
      <c r="BG20" s="143" cm="1">
        <f t="array" ref="BG20">SUMPRODUCT(
    --(RIGHT([3]Запрос1!$C$2:$C$5232,4) = RIGHT(A20,4)),
    --([3]Запрос1!$E$2:$E$5232 &gt;= $B$1),
    --([3]Запрос1!$E$2:$E$5232 &lt;= $B$2)
)*AN20</f>
        <v>0</v>
      </c>
      <c r="BH20" s="143"/>
      <c r="BI20" s="143"/>
      <c r="BJ20" s="143"/>
      <c r="BK20" s="101" cm="1">
        <f t="array" ref="BK20">SUMPRODUCT(
(RIGHT([4]Запрос1!$E$2:$E$5389,4)=RIGHT(A20,4))*
([4]Запрос1!$A$2:$A$5389&gt;=$B$1)*
([4]Запрос1!$A$2:$A$5389&lt;=$B$2)*
[4]Запрос1!$J$2:$J$5389
)*0.01</f>
        <v>0</v>
      </c>
      <c r="BL20" s="142"/>
      <c r="BM20" s="142"/>
      <c r="BN20" s="142"/>
      <c r="BO20" s="101" cm="1">
        <f t="array" ref="BO20">SUMPRODUCT(
  (RIGHT([5]Запрос1!$E$2:$E$5270,4) = RIGHT(A20,4)) *
  ([5]Запрос1!$A$2:$A$5270 &gt;= $B$1) *
  ([5]Запрос1!$A$2:$A$5270 &lt;= $B$2) *
[5]Запрос1!$I$2:$I$5270
)*0.25</f>
        <v>0</v>
      </c>
      <c r="BP20" s="142"/>
      <c r="BQ20" s="142"/>
      <c r="BR20" s="142"/>
      <c r="BS20" s="152"/>
      <c r="BT20" s="146"/>
      <c r="BU20" s="146"/>
      <c r="BV20" s="146"/>
      <c r="BW20" s="101">
        <f t="shared" si="10"/>
        <v>0</v>
      </c>
      <c r="BX20" s="142"/>
      <c r="BY20" s="142"/>
      <c r="BZ20" s="142"/>
      <c r="CA20" s="152"/>
      <c r="CB20" s="146"/>
      <c r="CC20" s="146"/>
      <c r="CD20" s="147"/>
      <c r="CE20" s="148">
        <f t="shared" si="6"/>
        <v>0</v>
      </c>
      <c r="CF20" s="146"/>
      <c r="CG20" s="146"/>
      <c r="CH20" s="146"/>
      <c r="CI20" s="97"/>
      <c r="CJ20" s="146"/>
      <c r="CK20" s="146"/>
      <c r="CL20" s="146"/>
      <c r="CM20" s="152"/>
      <c r="CN20" s="146"/>
      <c r="CO20" s="146"/>
      <c r="CP20" s="153"/>
      <c r="CQ20" s="154">
        <f t="shared" si="7"/>
        <v>0</v>
      </c>
      <c r="CR20" s="99"/>
      <c r="CS20" s="99"/>
      <c r="CT20" s="100"/>
      <c r="CU20" s="149">
        <f>AJ20*AQ20-AH20*AQ20</f>
        <v>0</v>
      </c>
      <c r="CV20" s="150"/>
      <c r="CW20" s="151"/>
    </row>
    <row r="21" spans="1:101" ht="20.100000000000001" customHeight="1" thickBot="1" x14ac:dyDescent="0.3">
      <c r="B21" s="29"/>
      <c r="C21" s="3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2"/>
      <c r="AH21" s="131"/>
      <c r="AI21" s="97"/>
      <c r="AJ21" s="97"/>
      <c r="AK21" s="132"/>
      <c r="AL21" s="21"/>
      <c r="AM21" s="22"/>
      <c r="AN21" s="23"/>
      <c r="AO21" s="133">
        <f>AS21-AQ21</f>
        <v>0</v>
      </c>
      <c r="AP21" s="134"/>
      <c r="AQ21" s="135">
        <f>IF(AS21&gt;15, AS21-15, 0)</f>
        <v>0</v>
      </c>
      <c r="AR21" s="134"/>
      <c r="AS21" s="135">
        <f>COUNTIF(C21:AG21, "М")+COUNTIF(C21:AG21, "Ц")+COUNTIF(C21:AG21, "П")+COUNTIF(C21:AG21, "Ох")+COUNTIF(C21:AG21, "Оз")+COUNTIF(C21:AG21, "А")+COUNTIF(C21:AG21, "Р")+(COUNTIF(C21:AG21, "05М")/2)+(COUNTIF(C21:AG21, "05Ц")/2)+(COUNTIF(C21:AG21, "05П")/2)+(COUNTIF(C21:AG21, "05Ох")/2)+(COUNTIF(C21:AG21, "05Оз")/2)+(COUNTIF(C21:AG21, "05А")/2)+(COUNTIF(C21:AG21, "05Р")/2)</f>
        <v>0</v>
      </c>
      <c r="AT21" s="136"/>
      <c r="AU21" s="137">
        <f t="shared" si="4"/>
        <v>0</v>
      </c>
      <c r="AV21" s="134"/>
      <c r="AW21" s="134"/>
      <c r="AX21" s="136"/>
      <c r="AY21" s="141" cm="1">
        <f t="array" ref="AY21">SUMPRODUCT(
(RIGHT([1]Запрос1!$D$2:$D$43198,4)=RIGHT(A21,4))*
([1]Запрос1!$A$2:$A$43198&gt;=$B$1)*
([1]Запрос1!$A$2:$A$43198&lt;=$B$2)*
[1]Запрос1!$F$2:$F$43198)*AL21</f>
        <v>0</v>
      </c>
      <c r="AZ21" s="142"/>
      <c r="BA21" s="142"/>
      <c r="BB21" s="142"/>
      <c r="BC21" s="101" cm="1">
        <f t="array" ref="BC21">SUMPRODUCT(
  (RIGHT([2]Запрос1!$E$2:$E$2465,4) = RIGHT(A21,4)) *
  ([2]Запрос1!$A$2:$A$2465 &gt;= $B$1) *
  ([2]Запрос1!$A$2:$A$2465 &lt;= $B$2) *
[2]Запрос1!$I$2:$I$2465
)*AM21</f>
        <v>0</v>
      </c>
      <c r="BD21" s="142"/>
      <c r="BE21" s="142"/>
      <c r="BF21" s="142"/>
      <c r="BG21" s="143" cm="1">
        <f t="array" ref="BG21">SUMPRODUCT(
    --(RIGHT([3]Запрос1!$C$54:$C$5232,4) = RIGHT(A21,4)),
    --([3]Запрос1!$E$54:$E$5232 &gt;= $B$1),
    --([3]Запрос1!$E$54:$E$5232 &lt;= $B$2)
)*AN21</f>
        <v>0</v>
      </c>
      <c r="BH21" s="143"/>
      <c r="BI21" s="143"/>
      <c r="BJ21" s="143"/>
      <c r="BK21" s="101" cm="1">
        <f t="array" ref="BK21">SUMPRODUCT(
(RIGHT([4]Запрос1!$E$2:$E$5389,4)=RIGHT(A21,4))*
([4]Запрос1!$A$2:$A$5389&gt;=$B$1)*
([4]Запрос1!$A$2:$A$5389&lt;=$B$2)*
[4]Запрос1!$J$2:$J$5389
)*0.01</f>
        <v>0</v>
      </c>
      <c r="BL21" s="142"/>
      <c r="BM21" s="142"/>
      <c r="BN21" s="142"/>
      <c r="BO21" s="101" cm="1">
        <f t="array" ref="BO21">SUMPRODUCT(
  (RIGHT([5]Запрос1!$E$2:$E$5270,4) = RIGHT(A21,4)) *
  ([5]Запрос1!$A$2:$A$5270 &gt;= $B$1) *
  ([5]Запрос1!$A$2:$A$5270 &lt;= $B$2) *
[5]Запрос1!$I$2:$I$5270
)*0.25</f>
        <v>0</v>
      </c>
      <c r="BP21" s="142"/>
      <c r="BQ21" s="142"/>
      <c r="BR21" s="142"/>
      <c r="BS21" s="155"/>
      <c r="BT21" s="134"/>
      <c r="BU21" s="134"/>
      <c r="BV21" s="134"/>
      <c r="BW21" s="101">
        <f t="shared" si="10"/>
        <v>0</v>
      </c>
      <c r="BX21" s="142"/>
      <c r="BY21" s="142"/>
      <c r="BZ21" s="142"/>
      <c r="CA21" s="155"/>
      <c r="CB21" s="134"/>
      <c r="CC21" s="134"/>
      <c r="CD21" s="136"/>
      <c r="CE21" s="144">
        <f t="shared" si="6"/>
        <v>0</v>
      </c>
      <c r="CF21" s="134"/>
      <c r="CG21" s="134"/>
      <c r="CH21" s="134"/>
      <c r="CI21" s="155"/>
      <c r="CJ21" s="134"/>
      <c r="CK21" s="134"/>
      <c r="CL21" s="134"/>
      <c r="CM21" s="155"/>
      <c r="CN21" s="134"/>
      <c r="CO21" s="134"/>
      <c r="CP21" s="156"/>
      <c r="CQ21" s="154">
        <f>(AU21+SUM(AY21:CD21))-SUM(CI21:CP21)</f>
        <v>0</v>
      </c>
      <c r="CR21" s="99"/>
      <c r="CS21" s="99"/>
      <c r="CT21" s="100"/>
      <c r="CU21" s="157">
        <f>AJ21*AQ21-AH21*AQ21</f>
        <v>0</v>
      </c>
      <c r="CV21" s="86"/>
      <c r="CW21" s="87"/>
    </row>
    <row r="22" spans="1:101" ht="20.100000000000001" customHeight="1" thickBot="1" x14ac:dyDescent="0.3">
      <c r="C22" s="33">
        <v>1</v>
      </c>
      <c r="D22" s="34">
        <v>2</v>
      </c>
      <c r="E22" s="35">
        <v>3</v>
      </c>
      <c r="F22" s="35">
        <v>4</v>
      </c>
      <c r="G22" s="35">
        <v>5</v>
      </c>
      <c r="H22" s="35">
        <v>6</v>
      </c>
      <c r="I22" s="35">
        <v>7</v>
      </c>
      <c r="J22" s="35">
        <v>8</v>
      </c>
      <c r="K22" s="35">
        <v>9</v>
      </c>
      <c r="L22" s="35">
        <v>10</v>
      </c>
      <c r="M22" s="35">
        <v>11</v>
      </c>
      <c r="N22" s="35">
        <v>12</v>
      </c>
      <c r="O22" s="35">
        <v>13</v>
      </c>
      <c r="P22" s="35">
        <v>14</v>
      </c>
      <c r="Q22" s="35">
        <v>15</v>
      </c>
      <c r="R22" s="35">
        <v>16</v>
      </c>
      <c r="S22" s="35">
        <v>17</v>
      </c>
      <c r="T22" s="35">
        <v>18</v>
      </c>
      <c r="U22" s="35">
        <v>19</v>
      </c>
      <c r="V22" s="35">
        <v>20</v>
      </c>
      <c r="W22" s="35">
        <v>21</v>
      </c>
      <c r="X22" s="35">
        <v>22</v>
      </c>
      <c r="Y22" s="35">
        <v>23</v>
      </c>
      <c r="Z22" s="35">
        <v>24</v>
      </c>
      <c r="AA22" s="35">
        <v>25</v>
      </c>
      <c r="AB22" s="35">
        <v>26</v>
      </c>
      <c r="AC22" s="35">
        <v>27</v>
      </c>
      <c r="AD22" s="35">
        <v>28</v>
      </c>
      <c r="AE22" s="35">
        <v>29</v>
      </c>
      <c r="AF22" s="35">
        <v>30</v>
      </c>
      <c r="AG22" s="36">
        <v>31</v>
      </c>
      <c r="AH22" s="111" t="s">
        <v>54</v>
      </c>
      <c r="AI22" s="127"/>
      <c r="AJ22" s="127"/>
      <c r="AK22" s="112"/>
      <c r="AL22" s="37"/>
      <c r="AM22" s="37"/>
      <c r="AN22" s="38"/>
      <c r="AO22" s="138" t="s">
        <v>55</v>
      </c>
      <c r="AP22" s="127"/>
      <c r="AQ22" s="139"/>
      <c r="AR22" s="140">
        <f>SUM(AJ23:AP29)</f>
        <v>175</v>
      </c>
      <c r="AS22" s="127"/>
      <c r="AT22" s="112"/>
      <c r="AU22" s="128">
        <f>SUM(AU3:AX21)</f>
        <v>599700</v>
      </c>
      <c r="AV22" s="83"/>
      <c r="AW22" s="83"/>
      <c r="AX22" s="84"/>
      <c r="AY22" s="128">
        <f>SUM(AY3:BB21)</f>
        <v>39333.130000000005</v>
      </c>
      <c r="AZ22" s="83"/>
      <c r="BA22" s="83"/>
      <c r="BB22" s="84"/>
      <c r="BC22" s="128">
        <f>SUM(BC3:BF21)</f>
        <v>24893.5</v>
      </c>
      <c r="BD22" s="83"/>
      <c r="BE22" s="83"/>
      <c r="BF22" s="84"/>
      <c r="BG22" s="128">
        <f>SUM(BG3:BJ21)</f>
        <v>18400</v>
      </c>
      <c r="BH22" s="83"/>
      <c r="BI22" s="83"/>
      <c r="BJ22" s="84"/>
      <c r="BK22" s="128">
        <f>SUM(BK3:BN21)</f>
        <v>0</v>
      </c>
      <c r="BL22" s="83"/>
      <c r="BM22" s="83"/>
      <c r="BN22" s="84"/>
      <c r="BO22" s="128">
        <f>SUM(BO3:BR21)</f>
        <v>1606.75</v>
      </c>
      <c r="BP22" s="83"/>
      <c r="BQ22" s="83"/>
      <c r="BR22" s="84"/>
      <c r="BS22" s="128">
        <f>SUM(BS3:BV21)</f>
        <v>0</v>
      </c>
      <c r="BT22" s="83"/>
      <c r="BU22" s="83"/>
      <c r="BV22" s="84"/>
      <c r="BW22" s="128">
        <f>SUM(BW3:BZ21)</f>
        <v>27000</v>
      </c>
      <c r="BX22" s="83"/>
      <c r="BY22" s="83"/>
      <c r="BZ22" s="84"/>
      <c r="CA22" s="128">
        <f>SUM(CA3:CD21)</f>
        <v>0</v>
      </c>
      <c r="CB22" s="83"/>
      <c r="CC22" s="83"/>
      <c r="CD22" s="84"/>
      <c r="CE22" s="129">
        <f>SUM(CE3:CH21)</f>
        <v>710933.38000000012</v>
      </c>
      <c r="CF22" s="127"/>
      <c r="CG22" s="127"/>
      <c r="CH22" s="112"/>
      <c r="CI22" s="129">
        <f>SUM(CI3:CL21)</f>
        <v>150</v>
      </c>
      <c r="CJ22" s="127"/>
      <c r="CK22" s="127"/>
      <c r="CL22" s="112"/>
      <c r="CM22" s="129">
        <f>SUM(CM3:CP21)</f>
        <v>75000</v>
      </c>
      <c r="CN22" s="127"/>
      <c r="CO22" s="127"/>
      <c r="CP22" s="112"/>
      <c r="CQ22" s="130">
        <f>SUM(CQ3:CT21)</f>
        <v>635783.38</v>
      </c>
      <c r="CR22" s="83"/>
      <c r="CS22" s="83"/>
      <c r="CT22" s="84"/>
      <c r="CU22" s="130">
        <f>SUM(CU3:CW21)</f>
        <v>5500</v>
      </c>
      <c r="CV22" s="83"/>
      <c r="CW22" s="84"/>
    </row>
    <row r="23" spans="1:101" ht="20.100000000000001" customHeight="1" thickBot="1" x14ac:dyDescent="0.3">
      <c r="C23" s="39">
        <f t="shared" ref="C23:AG23" si="11">COUNTIF(C3:C21, "Ц")</f>
        <v>0</v>
      </c>
      <c r="D23" s="40">
        <f t="shared" si="11"/>
        <v>0</v>
      </c>
      <c r="E23" s="40">
        <f t="shared" si="11"/>
        <v>0</v>
      </c>
      <c r="F23" s="40">
        <f t="shared" si="11"/>
        <v>0</v>
      </c>
      <c r="G23" s="40">
        <f t="shared" si="11"/>
        <v>1</v>
      </c>
      <c r="H23" s="40">
        <f t="shared" si="11"/>
        <v>1</v>
      </c>
      <c r="I23" s="40">
        <f t="shared" si="11"/>
        <v>1</v>
      </c>
      <c r="J23" s="40">
        <f t="shared" si="11"/>
        <v>1</v>
      </c>
      <c r="K23" s="40">
        <f t="shared" si="11"/>
        <v>1</v>
      </c>
      <c r="L23" s="40">
        <f t="shared" si="11"/>
        <v>1</v>
      </c>
      <c r="M23" s="40">
        <f t="shared" si="11"/>
        <v>1</v>
      </c>
      <c r="N23" s="40">
        <f t="shared" si="11"/>
        <v>1</v>
      </c>
      <c r="O23" s="40">
        <f t="shared" si="11"/>
        <v>1</v>
      </c>
      <c r="P23" s="40">
        <f t="shared" si="11"/>
        <v>1</v>
      </c>
      <c r="Q23" s="40">
        <f t="shared" si="11"/>
        <v>1</v>
      </c>
      <c r="R23" s="40">
        <f t="shared" si="11"/>
        <v>1</v>
      </c>
      <c r="S23" s="40">
        <f t="shared" si="11"/>
        <v>1</v>
      </c>
      <c r="T23" s="40">
        <f t="shared" si="11"/>
        <v>1</v>
      </c>
      <c r="U23" s="40">
        <f t="shared" si="11"/>
        <v>1</v>
      </c>
      <c r="V23" s="40">
        <f t="shared" si="11"/>
        <v>1</v>
      </c>
      <c r="W23" s="40">
        <f t="shared" si="11"/>
        <v>1</v>
      </c>
      <c r="X23" s="40">
        <f t="shared" si="11"/>
        <v>1</v>
      </c>
      <c r="Y23" s="40">
        <f t="shared" si="11"/>
        <v>1</v>
      </c>
      <c r="Z23" s="40">
        <f t="shared" si="11"/>
        <v>1</v>
      </c>
      <c r="AA23" s="40">
        <f t="shared" si="11"/>
        <v>1</v>
      </c>
      <c r="AB23" s="40">
        <f t="shared" si="11"/>
        <v>1</v>
      </c>
      <c r="AC23" s="40">
        <f t="shared" si="11"/>
        <v>1</v>
      </c>
      <c r="AD23" s="40">
        <f t="shared" si="11"/>
        <v>1</v>
      </c>
      <c r="AE23" s="40">
        <f t="shared" si="11"/>
        <v>1</v>
      </c>
      <c r="AF23" s="40">
        <f t="shared" si="11"/>
        <v>1</v>
      </c>
      <c r="AG23" s="41">
        <f t="shared" si="11"/>
        <v>1</v>
      </c>
      <c r="AH23" s="123" t="s">
        <v>34</v>
      </c>
      <c r="AI23" s="100"/>
      <c r="AJ23" s="124">
        <f>COUNTIF(C3:AG21, "Ц")+COUNTIF(C3:AG21, "05Ц")/2</f>
        <v>27</v>
      </c>
      <c r="AK23" s="125"/>
      <c r="AL23" s="42"/>
      <c r="AM23" s="42"/>
      <c r="AN23" s="43"/>
      <c r="AO23" s="119" t="s">
        <v>56</v>
      </c>
      <c r="AP23" s="83"/>
      <c r="AQ23" s="90"/>
      <c r="AR23" s="120">
        <f>COUNTA(A3:A20)-AR24</f>
        <v>13</v>
      </c>
      <c r="AS23" s="83"/>
      <c r="AT23" s="84"/>
      <c r="AU23" s="126" t="s">
        <v>57</v>
      </c>
      <c r="AV23" s="83"/>
      <c r="AW23" s="83"/>
      <c r="AX23" s="83"/>
      <c r="AY23" s="127"/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  <c r="BP23" s="127"/>
      <c r="BQ23" s="127"/>
      <c r="BR23" s="127"/>
      <c r="BS23" s="127"/>
      <c r="BT23" s="127"/>
      <c r="BU23" s="127"/>
      <c r="BV23" s="127"/>
      <c r="BW23" s="127"/>
      <c r="BX23" s="127"/>
      <c r="BY23" s="127"/>
      <c r="BZ23" s="127"/>
      <c r="CA23" s="127"/>
      <c r="CB23" s="127"/>
      <c r="CC23" s="127"/>
      <c r="CD23" s="127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4"/>
    </row>
    <row r="24" spans="1:101" ht="18.75" customHeight="1" thickBot="1" x14ac:dyDescent="0.3">
      <c r="C24" s="44">
        <f t="shared" ref="C24:AG24" si="12">COUNTIF(C3:C21, "Ох")</f>
        <v>0</v>
      </c>
      <c r="D24" s="45">
        <f t="shared" si="12"/>
        <v>1</v>
      </c>
      <c r="E24" s="45">
        <f t="shared" si="12"/>
        <v>1</v>
      </c>
      <c r="F24" s="45">
        <f t="shared" si="12"/>
        <v>1</v>
      </c>
      <c r="G24" s="45">
        <f t="shared" si="12"/>
        <v>1</v>
      </c>
      <c r="H24" s="45">
        <f t="shared" si="12"/>
        <v>1</v>
      </c>
      <c r="I24" s="45">
        <f t="shared" si="12"/>
        <v>1</v>
      </c>
      <c r="J24" s="45">
        <f t="shared" si="12"/>
        <v>1</v>
      </c>
      <c r="K24" s="45">
        <f t="shared" si="12"/>
        <v>1</v>
      </c>
      <c r="L24" s="45">
        <f t="shared" si="12"/>
        <v>1</v>
      </c>
      <c r="M24" s="45">
        <f t="shared" si="12"/>
        <v>1</v>
      </c>
      <c r="N24" s="45">
        <f t="shared" si="12"/>
        <v>1</v>
      </c>
      <c r="O24" s="45">
        <f t="shared" si="12"/>
        <v>1</v>
      </c>
      <c r="P24" s="45">
        <f t="shared" si="12"/>
        <v>1</v>
      </c>
      <c r="Q24" s="45">
        <f t="shared" si="12"/>
        <v>1</v>
      </c>
      <c r="R24" s="45">
        <f t="shared" si="12"/>
        <v>1</v>
      </c>
      <c r="S24" s="45">
        <f t="shared" si="12"/>
        <v>1</v>
      </c>
      <c r="T24" s="45">
        <f t="shared" si="12"/>
        <v>1</v>
      </c>
      <c r="U24" s="45">
        <f t="shared" si="12"/>
        <v>1</v>
      </c>
      <c r="V24" s="45">
        <f t="shared" si="12"/>
        <v>1</v>
      </c>
      <c r="W24" s="45">
        <f t="shared" si="12"/>
        <v>1</v>
      </c>
      <c r="X24" s="45">
        <f t="shared" si="12"/>
        <v>1</v>
      </c>
      <c r="Y24" s="45">
        <f t="shared" si="12"/>
        <v>1</v>
      </c>
      <c r="Z24" s="45">
        <f t="shared" si="12"/>
        <v>1</v>
      </c>
      <c r="AA24" s="45">
        <f t="shared" si="12"/>
        <v>1</v>
      </c>
      <c r="AB24" s="45">
        <f t="shared" si="12"/>
        <v>1</v>
      </c>
      <c r="AC24" s="45">
        <f t="shared" si="12"/>
        <v>1</v>
      </c>
      <c r="AD24" s="45">
        <f t="shared" si="12"/>
        <v>1</v>
      </c>
      <c r="AE24" s="45">
        <f t="shared" si="12"/>
        <v>1</v>
      </c>
      <c r="AF24" s="45">
        <f t="shared" si="12"/>
        <v>1</v>
      </c>
      <c r="AG24" s="46">
        <f t="shared" si="12"/>
        <v>1</v>
      </c>
      <c r="AH24" s="118" t="s">
        <v>37</v>
      </c>
      <c r="AI24" s="94"/>
      <c r="AJ24" s="105">
        <f>COUNTIF(C3:AF21, "Ох")+COUNTIF(C3:AG21, "05Ох")/2</f>
        <v>29</v>
      </c>
      <c r="AK24" s="106"/>
      <c r="AL24"/>
      <c r="AM24"/>
      <c r="AN24" s="47"/>
      <c r="AO24" s="119" t="s">
        <v>58</v>
      </c>
      <c r="AP24" s="83"/>
      <c r="AQ24" s="90"/>
      <c r="AR24" s="120">
        <f>COUNTIF(A3:A20, "*С")</f>
        <v>0</v>
      </c>
      <c r="AS24" s="83"/>
      <c r="AT24" s="84"/>
      <c r="AU24" s="121">
        <f>AU22+AY22+BC22+BG22+BK22+BW22+CA22-CI22</f>
        <v>709176.63</v>
      </c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4"/>
    </row>
    <row r="25" spans="1:101" ht="20.100000000000001" customHeight="1" thickBot="1" x14ac:dyDescent="0.3">
      <c r="C25" s="44">
        <f t="shared" ref="C25:AG25" si="13">COUNTIF(C3:C21, "М")</f>
        <v>0</v>
      </c>
      <c r="D25" s="45">
        <f t="shared" si="13"/>
        <v>1</v>
      </c>
      <c r="E25" s="45">
        <f t="shared" si="13"/>
        <v>1</v>
      </c>
      <c r="F25" s="45">
        <f t="shared" si="13"/>
        <v>1</v>
      </c>
      <c r="G25" s="45">
        <f t="shared" si="13"/>
        <v>1</v>
      </c>
      <c r="H25" s="45">
        <f t="shared" si="13"/>
        <v>1</v>
      </c>
      <c r="I25" s="45">
        <f t="shared" si="13"/>
        <v>1</v>
      </c>
      <c r="J25" s="45">
        <f t="shared" si="13"/>
        <v>1</v>
      </c>
      <c r="K25" s="45">
        <f t="shared" si="13"/>
        <v>1</v>
      </c>
      <c r="L25" s="45">
        <f t="shared" si="13"/>
        <v>1</v>
      </c>
      <c r="M25" s="45">
        <f t="shared" si="13"/>
        <v>1</v>
      </c>
      <c r="N25" s="45">
        <f t="shared" si="13"/>
        <v>1</v>
      </c>
      <c r="O25" s="45">
        <f t="shared" si="13"/>
        <v>1</v>
      </c>
      <c r="P25" s="45">
        <f t="shared" si="13"/>
        <v>1</v>
      </c>
      <c r="Q25" s="45">
        <f t="shared" si="13"/>
        <v>1</v>
      </c>
      <c r="R25" s="45">
        <f t="shared" si="13"/>
        <v>1</v>
      </c>
      <c r="S25" s="45">
        <f t="shared" si="13"/>
        <v>1</v>
      </c>
      <c r="T25" s="45">
        <f t="shared" si="13"/>
        <v>1</v>
      </c>
      <c r="U25" s="45">
        <f t="shared" si="13"/>
        <v>1</v>
      </c>
      <c r="V25" s="45">
        <f t="shared" si="13"/>
        <v>1</v>
      </c>
      <c r="W25" s="45">
        <f t="shared" si="13"/>
        <v>1</v>
      </c>
      <c r="X25" s="45">
        <f t="shared" si="13"/>
        <v>1</v>
      </c>
      <c r="Y25" s="45">
        <f t="shared" si="13"/>
        <v>1</v>
      </c>
      <c r="Z25" s="45">
        <f t="shared" si="13"/>
        <v>1</v>
      </c>
      <c r="AA25" s="45">
        <f t="shared" si="13"/>
        <v>1</v>
      </c>
      <c r="AB25" s="45">
        <f t="shared" si="13"/>
        <v>1</v>
      </c>
      <c r="AC25" s="45">
        <f t="shared" si="13"/>
        <v>1</v>
      </c>
      <c r="AD25" s="45">
        <f t="shared" si="13"/>
        <v>1</v>
      </c>
      <c r="AE25" s="45">
        <f t="shared" si="13"/>
        <v>1</v>
      </c>
      <c r="AF25" s="45">
        <f t="shared" si="13"/>
        <v>1</v>
      </c>
      <c r="AG25" s="46">
        <f t="shared" si="13"/>
        <v>1</v>
      </c>
      <c r="AH25" s="122" t="s">
        <v>40</v>
      </c>
      <c r="AI25" s="94"/>
      <c r="AJ25" s="105">
        <f>COUNTIF(C3:AG21, "М")+COUNTIF(C3:AG21, "05М")/2</f>
        <v>30</v>
      </c>
      <c r="AK25" s="106"/>
      <c r="AL25"/>
      <c r="AM25"/>
      <c r="AN25" s="47"/>
      <c r="AO25" s="119" t="s">
        <v>59</v>
      </c>
      <c r="AP25" s="83"/>
      <c r="AQ25" s="90"/>
      <c r="AR25" s="120">
        <f>IF(14-AR23&lt;0, 0, 14-AR23)</f>
        <v>1</v>
      </c>
      <c r="AS25" s="83"/>
      <c r="AT25" s="84"/>
    </row>
    <row r="26" spans="1:101" ht="20.100000000000001" customHeight="1" x14ac:dyDescent="0.25">
      <c r="C26" s="44">
        <f t="shared" ref="C26:AG26" si="14">COUNTIF(C3:C21, "А")</f>
        <v>0</v>
      </c>
      <c r="D26" s="45">
        <f t="shared" si="14"/>
        <v>1</v>
      </c>
      <c r="E26" s="45">
        <f t="shared" si="14"/>
        <v>1</v>
      </c>
      <c r="F26" s="45">
        <f t="shared" si="14"/>
        <v>1</v>
      </c>
      <c r="G26" s="45">
        <f t="shared" si="14"/>
        <v>1</v>
      </c>
      <c r="H26" s="45">
        <f t="shared" si="14"/>
        <v>1</v>
      </c>
      <c r="I26" s="45">
        <f t="shared" si="14"/>
        <v>1</v>
      </c>
      <c r="J26" s="45">
        <f t="shared" si="14"/>
        <v>1</v>
      </c>
      <c r="K26" s="45">
        <f t="shared" si="14"/>
        <v>1</v>
      </c>
      <c r="L26" s="45">
        <f t="shared" si="14"/>
        <v>1</v>
      </c>
      <c r="M26" s="45">
        <f t="shared" si="14"/>
        <v>1</v>
      </c>
      <c r="N26" s="45">
        <f t="shared" si="14"/>
        <v>1</v>
      </c>
      <c r="O26" s="45">
        <f t="shared" si="14"/>
        <v>1</v>
      </c>
      <c r="P26" s="45">
        <f t="shared" si="14"/>
        <v>1</v>
      </c>
      <c r="Q26" s="45">
        <f t="shared" si="14"/>
        <v>1</v>
      </c>
      <c r="R26" s="45">
        <f t="shared" si="14"/>
        <v>1</v>
      </c>
      <c r="S26" s="45">
        <f t="shared" si="14"/>
        <v>1</v>
      </c>
      <c r="T26" s="45">
        <f t="shared" si="14"/>
        <v>1</v>
      </c>
      <c r="U26" s="45">
        <f t="shared" si="14"/>
        <v>1</v>
      </c>
      <c r="V26" s="45">
        <f t="shared" si="14"/>
        <v>1</v>
      </c>
      <c r="W26" s="45">
        <f t="shared" si="14"/>
        <v>1</v>
      </c>
      <c r="X26" s="45">
        <f t="shared" si="14"/>
        <v>1</v>
      </c>
      <c r="Y26" s="45">
        <f t="shared" si="14"/>
        <v>1</v>
      </c>
      <c r="Z26" s="45">
        <f t="shared" si="14"/>
        <v>1</v>
      </c>
      <c r="AA26" s="45">
        <f t="shared" si="14"/>
        <v>1</v>
      </c>
      <c r="AB26" s="45">
        <f t="shared" si="14"/>
        <v>1</v>
      </c>
      <c r="AC26" s="45">
        <f t="shared" si="14"/>
        <v>1</v>
      </c>
      <c r="AD26" s="45">
        <f t="shared" si="14"/>
        <v>1</v>
      </c>
      <c r="AE26" s="45">
        <f t="shared" si="14"/>
        <v>1</v>
      </c>
      <c r="AF26" s="45">
        <f t="shared" si="14"/>
        <v>1</v>
      </c>
      <c r="AG26" s="46">
        <f t="shared" si="14"/>
        <v>1</v>
      </c>
      <c r="AH26" s="114" t="s">
        <v>44</v>
      </c>
      <c r="AI26" s="94"/>
      <c r="AJ26" s="105">
        <f>COUNTIF(C3:AG21, "А")+COUNTIF(C3:AG21, "05А")/2</f>
        <v>30</v>
      </c>
      <c r="AK26" s="106"/>
      <c r="AL26"/>
      <c r="AM26"/>
      <c r="AN26" s="47"/>
      <c r="AO26" s="115"/>
      <c r="AP26" s="115"/>
      <c r="AQ26" s="115"/>
      <c r="AR26" s="115"/>
      <c r="AS26" s="115"/>
      <c r="AT26" s="116"/>
      <c r="AU26" s="116"/>
      <c r="AV26" s="116"/>
      <c r="AW26" s="116"/>
      <c r="AX26" s="116"/>
    </row>
    <row r="27" spans="1:101" ht="20.100000000000001" customHeight="1" x14ac:dyDescent="0.25">
      <c r="C27" s="44">
        <f t="shared" ref="C27:AG27" si="15">COUNTIF(C3:C21, "Оз")</f>
        <v>0</v>
      </c>
      <c r="D27" s="45">
        <f t="shared" si="15"/>
        <v>1</v>
      </c>
      <c r="E27" s="45">
        <f t="shared" si="15"/>
        <v>1</v>
      </c>
      <c r="F27" s="45">
        <f t="shared" si="15"/>
        <v>1</v>
      </c>
      <c r="G27" s="45">
        <f t="shared" si="15"/>
        <v>1</v>
      </c>
      <c r="H27" s="45">
        <f t="shared" si="15"/>
        <v>1</v>
      </c>
      <c r="I27" s="45">
        <f t="shared" si="15"/>
        <v>1</v>
      </c>
      <c r="J27" s="45">
        <f t="shared" si="15"/>
        <v>1</v>
      </c>
      <c r="K27" s="45">
        <f t="shared" si="15"/>
        <v>1</v>
      </c>
      <c r="L27" s="45">
        <f t="shared" si="15"/>
        <v>1</v>
      </c>
      <c r="M27" s="45">
        <f t="shared" si="15"/>
        <v>1</v>
      </c>
      <c r="N27" s="45">
        <f t="shared" si="15"/>
        <v>1</v>
      </c>
      <c r="O27" s="45">
        <f t="shared" si="15"/>
        <v>1</v>
      </c>
      <c r="P27" s="45">
        <f t="shared" si="15"/>
        <v>1</v>
      </c>
      <c r="Q27" s="45">
        <f t="shared" si="15"/>
        <v>1</v>
      </c>
      <c r="R27" s="45">
        <f t="shared" si="15"/>
        <v>1</v>
      </c>
      <c r="S27" s="45">
        <f t="shared" si="15"/>
        <v>1</v>
      </c>
      <c r="T27" s="45">
        <f t="shared" si="15"/>
        <v>1</v>
      </c>
      <c r="U27" s="45">
        <f t="shared" si="15"/>
        <v>1</v>
      </c>
      <c r="V27" s="45">
        <f t="shared" si="15"/>
        <v>1</v>
      </c>
      <c r="W27" s="45">
        <f t="shared" si="15"/>
        <v>1</v>
      </c>
      <c r="X27" s="45">
        <f t="shared" si="15"/>
        <v>1</v>
      </c>
      <c r="Y27" s="45">
        <f t="shared" si="15"/>
        <v>1</v>
      </c>
      <c r="Z27" s="45">
        <f t="shared" si="15"/>
        <v>1</v>
      </c>
      <c r="AA27" s="45">
        <f t="shared" si="15"/>
        <v>1</v>
      </c>
      <c r="AB27" s="45">
        <f t="shared" si="15"/>
        <v>1</v>
      </c>
      <c r="AC27" s="45">
        <f t="shared" si="15"/>
        <v>1</v>
      </c>
      <c r="AD27" s="45">
        <f t="shared" si="15"/>
        <v>1</v>
      </c>
      <c r="AE27" s="45">
        <f t="shared" si="15"/>
        <v>1</v>
      </c>
      <c r="AF27" s="45">
        <f t="shared" si="15"/>
        <v>1</v>
      </c>
      <c r="AG27" s="46">
        <f t="shared" si="15"/>
        <v>1</v>
      </c>
      <c r="AH27" s="117" t="s">
        <v>49</v>
      </c>
      <c r="AI27" s="94"/>
      <c r="AJ27" s="105">
        <f>COUNTIF(C3:AG21, "Оз")+COUNTIF(C3:AG21, "05Оз")/2</f>
        <v>30</v>
      </c>
      <c r="AK27" s="106"/>
      <c r="AL27"/>
      <c r="AM27"/>
      <c r="AN27" s="47"/>
      <c r="AO27" s="115"/>
      <c r="AP27" s="115"/>
      <c r="AQ27" s="115"/>
      <c r="AR27" s="115"/>
      <c r="AS27" s="115"/>
      <c r="AT27" s="116"/>
      <c r="AU27" s="116"/>
      <c r="AV27" s="116"/>
      <c r="AW27" s="116"/>
      <c r="AX27" s="116"/>
    </row>
    <row r="28" spans="1:101" ht="20.100000000000001" customHeight="1" thickBot="1" x14ac:dyDescent="0.3">
      <c r="C28" s="44">
        <f t="shared" ref="C28:AG28" si="16">COUNTIF(C3:C21, "П")</f>
        <v>0</v>
      </c>
      <c r="D28" s="45">
        <f t="shared" si="16"/>
        <v>1</v>
      </c>
      <c r="E28" s="45">
        <f t="shared" si="16"/>
        <v>1</v>
      </c>
      <c r="F28" s="45">
        <f t="shared" si="16"/>
        <v>1</v>
      </c>
      <c r="G28" s="45">
        <f t="shared" si="16"/>
        <v>1</v>
      </c>
      <c r="H28" s="45">
        <f t="shared" si="16"/>
        <v>1</v>
      </c>
      <c r="I28" s="45">
        <f t="shared" si="16"/>
        <v>1</v>
      </c>
      <c r="J28" s="45">
        <f t="shared" si="16"/>
        <v>1</v>
      </c>
      <c r="K28" s="45">
        <f t="shared" si="16"/>
        <v>1</v>
      </c>
      <c r="L28" s="45">
        <f t="shared" si="16"/>
        <v>1</v>
      </c>
      <c r="M28" s="45">
        <f t="shared" si="16"/>
        <v>1</v>
      </c>
      <c r="N28" s="45">
        <f t="shared" si="16"/>
        <v>1</v>
      </c>
      <c r="O28" s="45">
        <f t="shared" si="16"/>
        <v>1</v>
      </c>
      <c r="P28" s="45">
        <f t="shared" si="16"/>
        <v>1</v>
      </c>
      <c r="Q28" s="45">
        <f t="shared" si="16"/>
        <v>1</v>
      </c>
      <c r="R28" s="45">
        <f t="shared" si="16"/>
        <v>0</v>
      </c>
      <c r="S28" s="45">
        <f t="shared" si="16"/>
        <v>1</v>
      </c>
      <c r="T28" s="45">
        <f t="shared" si="16"/>
        <v>1</v>
      </c>
      <c r="U28" s="45">
        <f t="shared" si="16"/>
        <v>1</v>
      </c>
      <c r="V28" s="45">
        <f t="shared" si="16"/>
        <v>1</v>
      </c>
      <c r="W28" s="45">
        <f t="shared" si="16"/>
        <v>1</v>
      </c>
      <c r="X28" s="45">
        <f t="shared" si="16"/>
        <v>1</v>
      </c>
      <c r="Y28" s="45">
        <f t="shared" si="16"/>
        <v>1</v>
      </c>
      <c r="Z28" s="45">
        <f t="shared" si="16"/>
        <v>1</v>
      </c>
      <c r="AA28" s="45">
        <f t="shared" si="16"/>
        <v>1</v>
      </c>
      <c r="AB28" s="45">
        <f t="shared" si="16"/>
        <v>1</v>
      </c>
      <c r="AC28" s="45">
        <f t="shared" si="16"/>
        <v>1</v>
      </c>
      <c r="AD28" s="45">
        <f t="shared" si="16"/>
        <v>1</v>
      </c>
      <c r="AE28" s="45">
        <f t="shared" si="16"/>
        <v>1</v>
      </c>
      <c r="AF28" s="45">
        <f t="shared" si="16"/>
        <v>1</v>
      </c>
      <c r="AG28" s="46">
        <f t="shared" si="16"/>
        <v>1</v>
      </c>
      <c r="AH28" s="104" t="s">
        <v>42</v>
      </c>
      <c r="AI28" s="94"/>
      <c r="AJ28" s="105">
        <f>COUNTIF(C3:AG21, "П")+COUNTIF(C3:AG21, "05П")/2</f>
        <v>29</v>
      </c>
      <c r="AK28" s="106"/>
      <c r="AL28"/>
      <c r="AM28"/>
      <c r="AN28" s="47"/>
    </row>
    <row r="29" spans="1:101" ht="20.25" hidden="1" customHeight="1" x14ac:dyDescent="0.25">
      <c r="C29" s="48">
        <f t="shared" ref="C29:AG29" si="17">COUNTIF(C3:C21, "Р")</f>
        <v>0</v>
      </c>
      <c r="D29" s="49">
        <f t="shared" si="17"/>
        <v>0</v>
      </c>
      <c r="E29" s="49">
        <f t="shared" si="17"/>
        <v>0</v>
      </c>
      <c r="F29" s="49">
        <f t="shared" si="17"/>
        <v>0</v>
      </c>
      <c r="G29" s="49">
        <f t="shared" si="17"/>
        <v>0</v>
      </c>
      <c r="H29" s="49">
        <f t="shared" si="17"/>
        <v>0</v>
      </c>
      <c r="I29" s="49">
        <f t="shared" si="17"/>
        <v>0</v>
      </c>
      <c r="J29" s="49">
        <f t="shared" si="17"/>
        <v>0</v>
      </c>
      <c r="K29" s="49">
        <f t="shared" si="17"/>
        <v>0</v>
      </c>
      <c r="L29" s="49">
        <f t="shared" si="17"/>
        <v>0</v>
      </c>
      <c r="M29" s="49">
        <f t="shared" si="17"/>
        <v>0</v>
      </c>
      <c r="N29" s="49">
        <f t="shared" si="17"/>
        <v>0</v>
      </c>
      <c r="O29" s="49">
        <f t="shared" si="17"/>
        <v>0</v>
      </c>
      <c r="P29" s="49">
        <f t="shared" si="17"/>
        <v>0</v>
      </c>
      <c r="Q29" s="49">
        <f t="shared" si="17"/>
        <v>0</v>
      </c>
      <c r="R29" s="49">
        <f t="shared" si="17"/>
        <v>0</v>
      </c>
      <c r="S29" s="49">
        <f t="shared" si="17"/>
        <v>0</v>
      </c>
      <c r="T29" s="49">
        <f t="shared" si="17"/>
        <v>0</v>
      </c>
      <c r="U29" s="49">
        <f t="shared" si="17"/>
        <v>0</v>
      </c>
      <c r="V29" s="49">
        <f t="shared" si="17"/>
        <v>0</v>
      </c>
      <c r="W29" s="49">
        <f t="shared" si="17"/>
        <v>0</v>
      </c>
      <c r="X29" s="49">
        <f t="shared" si="17"/>
        <v>0</v>
      </c>
      <c r="Y29" s="49">
        <f t="shared" si="17"/>
        <v>0</v>
      </c>
      <c r="Z29" s="49">
        <f t="shared" si="17"/>
        <v>0</v>
      </c>
      <c r="AA29" s="49">
        <f t="shared" si="17"/>
        <v>0</v>
      </c>
      <c r="AB29" s="49">
        <f t="shared" si="17"/>
        <v>0</v>
      </c>
      <c r="AC29" s="49">
        <f t="shared" si="17"/>
        <v>0</v>
      </c>
      <c r="AD29" s="49">
        <f t="shared" si="17"/>
        <v>0</v>
      </c>
      <c r="AE29" s="49">
        <f t="shared" si="17"/>
        <v>0</v>
      </c>
      <c r="AF29" s="49">
        <f t="shared" si="17"/>
        <v>0</v>
      </c>
      <c r="AG29" s="50">
        <f t="shared" si="17"/>
        <v>0</v>
      </c>
      <c r="AH29" s="107" t="s">
        <v>15</v>
      </c>
      <c r="AI29" s="108"/>
      <c r="AJ29" s="109">
        <f>COUNTIF(C3:AG21, "Р")+COUNTIF(C3:AG21, "05Р")/2</f>
        <v>0</v>
      </c>
      <c r="AK29" s="110"/>
      <c r="AL29"/>
      <c r="AM29"/>
      <c r="AN29" s="47"/>
    </row>
    <row r="30" spans="1:101" ht="20.100000000000001" customHeight="1" thickBot="1" x14ac:dyDescent="0.3">
      <c r="C30" s="51">
        <f t="shared" ref="C30:AG30" si="18">SUM(C23:C29)</f>
        <v>0</v>
      </c>
      <c r="D30" s="51">
        <f t="shared" si="18"/>
        <v>5</v>
      </c>
      <c r="E30" s="51">
        <f t="shared" si="18"/>
        <v>5</v>
      </c>
      <c r="F30" s="51">
        <f t="shared" si="18"/>
        <v>5</v>
      </c>
      <c r="G30" s="51">
        <f t="shared" si="18"/>
        <v>6</v>
      </c>
      <c r="H30" s="51">
        <f t="shared" si="18"/>
        <v>6</v>
      </c>
      <c r="I30" s="51">
        <f t="shared" si="18"/>
        <v>6</v>
      </c>
      <c r="J30" s="51">
        <f t="shared" si="18"/>
        <v>6</v>
      </c>
      <c r="K30" s="51">
        <f t="shared" si="18"/>
        <v>6</v>
      </c>
      <c r="L30" s="51">
        <f t="shared" si="18"/>
        <v>6</v>
      </c>
      <c r="M30" s="51">
        <f t="shared" si="18"/>
        <v>6</v>
      </c>
      <c r="N30" s="51">
        <f t="shared" si="18"/>
        <v>6</v>
      </c>
      <c r="O30" s="51">
        <f t="shared" si="18"/>
        <v>6</v>
      </c>
      <c r="P30" s="51">
        <f t="shared" si="18"/>
        <v>6</v>
      </c>
      <c r="Q30" s="51">
        <f t="shared" si="18"/>
        <v>6</v>
      </c>
      <c r="R30" s="51">
        <f t="shared" si="18"/>
        <v>5</v>
      </c>
      <c r="S30" s="51">
        <f t="shared" si="18"/>
        <v>6</v>
      </c>
      <c r="T30" s="51">
        <f t="shared" si="18"/>
        <v>6</v>
      </c>
      <c r="U30" s="51">
        <f t="shared" si="18"/>
        <v>6</v>
      </c>
      <c r="V30" s="51">
        <f t="shared" si="18"/>
        <v>6</v>
      </c>
      <c r="W30" s="51">
        <f t="shared" si="18"/>
        <v>6</v>
      </c>
      <c r="X30" s="51">
        <f t="shared" si="18"/>
        <v>6</v>
      </c>
      <c r="Y30" s="51">
        <f t="shared" si="18"/>
        <v>6</v>
      </c>
      <c r="Z30" s="51">
        <f t="shared" si="18"/>
        <v>6</v>
      </c>
      <c r="AA30" s="51">
        <f t="shared" si="18"/>
        <v>6</v>
      </c>
      <c r="AB30" s="51">
        <f t="shared" si="18"/>
        <v>6</v>
      </c>
      <c r="AC30" s="51">
        <f t="shared" si="18"/>
        <v>6</v>
      </c>
      <c r="AD30" s="51">
        <f t="shared" si="18"/>
        <v>6</v>
      </c>
      <c r="AE30" s="51">
        <f t="shared" si="18"/>
        <v>6</v>
      </c>
      <c r="AF30" s="51">
        <f t="shared" si="18"/>
        <v>6</v>
      </c>
      <c r="AG30" s="52">
        <f t="shared" si="18"/>
        <v>6</v>
      </c>
      <c r="AH30" s="111" t="s">
        <v>30</v>
      </c>
      <c r="AI30" s="112"/>
      <c r="AJ30" s="113">
        <f>SUM(AJ23:AJ29)</f>
        <v>175</v>
      </c>
      <c r="AK30" s="84"/>
      <c r="AL30"/>
      <c r="AM30"/>
      <c r="AN30" s="1"/>
    </row>
    <row r="31" spans="1:101" ht="18" customHeight="1" thickBot="1" x14ac:dyDescent="0.3">
      <c r="AN31" s="1"/>
    </row>
    <row r="32" spans="1:101" ht="20.100000000000001" customHeight="1" thickBot="1" x14ac:dyDescent="0.3">
      <c r="C32" s="102" t="s">
        <v>60</v>
      </c>
      <c r="D32" s="83"/>
      <c r="E32" s="83"/>
      <c r="F32" s="83"/>
      <c r="G32" s="83"/>
      <c r="H32" s="83"/>
      <c r="I32" s="90"/>
      <c r="J32" s="102" t="s">
        <v>61</v>
      </c>
      <c r="K32" s="83"/>
      <c r="L32" s="83"/>
      <c r="M32" s="83"/>
      <c r="N32" s="83"/>
      <c r="O32" s="83"/>
      <c r="P32" s="90"/>
      <c r="Q32" s="102" t="s">
        <v>28</v>
      </c>
      <c r="R32" s="83"/>
      <c r="S32" s="83"/>
      <c r="T32" s="83"/>
      <c r="U32" s="83"/>
      <c r="V32" s="83"/>
      <c r="W32" s="90"/>
      <c r="X32" s="103" t="s">
        <v>62</v>
      </c>
      <c r="Y32" s="83"/>
      <c r="Z32" s="83"/>
      <c r="AA32" s="83"/>
      <c r="AB32" s="83"/>
      <c r="AC32" s="83"/>
      <c r="AD32" s="90"/>
      <c r="AE32" s="82" t="s">
        <v>63</v>
      </c>
      <c r="AF32" s="83"/>
      <c r="AG32" s="83"/>
      <c r="AH32" s="83"/>
      <c r="AI32" s="83"/>
      <c r="AJ32" s="83"/>
      <c r="AK32" s="84"/>
      <c r="AL32" s="82" t="s">
        <v>64</v>
      </c>
      <c r="AM32" s="83"/>
      <c r="AN32" s="83"/>
      <c r="AO32" s="83"/>
      <c r="AP32" s="83"/>
      <c r="AQ32" s="83"/>
      <c r="AR32" s="84"/>
      <c r="AZ32" s="98" t="s">
        <v>28</v>
      </c>
      <c r="BA32" s="99"/>
      <c r="BB32" s="99"/>
      <c r="BC32" s="99"/>
      <c r="BD32" s="99"/>
      <c r="BE32" s="100"/>
      <c r="BF32" s="101"/>
      <c r="BG32" s="99"/>
      <c r="BH32" s="100"/>
    </row>
    <row r="33" spans="3:60" ht="20.100000000000001" customHeight="1" x14ac:dyDescent="0.25">
      <c r="C33" s="53">
        <f t="shared" ref="C33:I33" si="19">IF(COUNTIF(C$3:C$21, "*М*")=0, C1, "")</f>
        <v>1</v>
      </c>
      <c r="D33" s="54" t="str">
        <f t="shared" si="19"/>
        <v/>
      </c>
      <c r="E33" s="54" t="str">
        <f t="shared" si="19"/>
        <v/>
      </c>
      <c r="F33" s="54" t="str">
        <f t="shared" si="19"/>
        <v/>
      </c>
      <c r="G33" s="54" t="str">
        <f t="shared" si="19"/>
        <v/>
      </c>
      <c r="H33" s="54" t="str">
        <f t="shared" si="19"/>
        <v/>
      </c>
      <c r="I33" s="55" t="str">
        <f t="shared" si="19"/>
        <v/>
      </c>
      <c r="J33" s="53">
        <f t="shared" ref="J33:P33" si="20">IF(COUNTIF(C3:C21, "*Оз*")=0, C1, "")</f>
        <v>1</v>
      </c>
      <c r="K33" s="54" t="str">
        <f t="shared" si="20"/>
        <v/>
      </c>
      <c r="L33" s="54" t="str">
        <f t="shared" si="20"/>
        <v/>
      </c>
      <c r="M33" s="54" t="str">
        <f t="shared" si="20"/>
        <v/>
      </c>
      <c r="N33" s="54" t="str">
        <f t="shared" si="20"/>
        <v/>
      </c>
      <c r="O33" s="54" t="str">
        <f t="shared" si="20"/>
        <v/>
      </c>
      <c r="P33" s="55" t="str">
        <f t="shared" si="20"/>
        <v/>
      </c>
      <c r="Q33" s="53">
        <f t="shared" ref="Q33:W33" si="21">IF(COUNTIF(C3:C21, "Ц")=0, C1, "")</f>
        <v>1</v>
      </c>
      <c r="R33" s="54">
        <f t="shared" si="21"/>
        <v>2</v>
      </c>
      <c r="S33" s="54">
        <f t="shared" si="21"/>
        <v>3</v>
      </c>
      <c r="T33" s="54">
        <f t="shared" si="21"/>
        <v>4</v>
      </c>
      <c r="U33" s="54" t="str">
        <f t="shared" si="21"/>
        <v/>
      </c>
      <c r="V33" s="54" t="str">
        <f t="shared" si="21"/>
        <v/>
      </c>
      <c r="W33" s="55" t="str">
        <f t="shared" si="21"/>
        <v/>
      </c>
      <c r="X33" s="53">
        <f t="shared" ref="X33:AD33" si="22">IF(COUNTIF(C3:C21, "*А*")=0, C1, "")</f>
        <v>1</v>
      </c>
      <c r="Y33" s="54" t="str">
        <f t="shared" si="22"/>
        <v/>
      </c>
      <c r="Z33" s="54" t="str">
        <f t="shared" si="22"/>
        <v/>
      </c>
      <c r="AA33" s="54" t="str">
        <f t="shared" si="22"/>
        <v/>
      </c>
      <c r="AB33" s="54" t="str">
        <f t="shared" si="22"/>
        <v/>
      </c>
      <c r="AC33" s="54" t="str">
        <f t="shared" si="22"/>
        <v/>
      </c>
      <c r="AD33" s="55" t="str">
        <f t="shared" si="22"/>
        <v/>
      </c>
      <c r="AE33" s="53">
        <f t="shared" ref="AE33:AK33" si="23">IF(COUNTIF(C$3:C$21, "*Ох*")=0, C1, "")</f>
        <v>1</v>
      </c>
      <c r="AF33" s="54" t="str">
        <f t="shared" si="23"/>
        <v/>
      </c>
      <c r="AG33" s="54" t="str">
        <f t="shared" si="23"/>
        <v/>
      </c>
      <c r="AH33" s="54" t="str">
        <f t="shared" si="23"/>
        <v/>
      </c>
      <c r="AI33" s="54" t="str">
        <f t="shared" si="23"/>
        <v/>
      </c>
      <c r="AJ33" s="54" t="str">
        <f t="shared" si="23"/>
        <v/>
      </c>
      <c r="AK33" s="55" t="str">
        <f t="shared" si="23"/>
        <v/>
      </c>
      <c r="AL33" s="53">
        <f t="shared" ref="AL33:AR33" si="24">IF(COUNTIF(C$3:C$21, "*П*")=0, C1, "")</f>
        <v>1</v>
      </c>
      <c r="AM33" s="54" t="str">
        <f t="shared" si="24"/>
        <v/>
      </c>
      <c r="AN33" s="54" t="str">
        <f t="shared" si="24"/>
        <v/>
      </c>
      <c r="AO33" s="54" t="str">
        <f t="shared" si="24"/>
        <v/>
      </c>
      <c r="AP33" s="54" t="str">
        <f t="shared" si="24"/>
        <v/>
      </c>
      <c r="AQ33" s="54" t="str">
        <f t="shared" si="24"/>
        <v/>
      </c>
      <c r="AR33" s="55" t="str">
        <f t="shared" si="24"/>
        <v/>
      </c>
      <c r="AZ33" s="92" t="s">
        <v>65</v>
      </c>
      <c r="BA33" s="93"/>
      <c r="BB33" s="93"/>
      <c r="BC33" s="93"/>
      <c r="BD33" s="93"/>
      <c r="BE33" s="94"/>
      <c r="BF33" s="95"/>
      <c r="BG33" s="93"/>
      <c r="BH33" s="94"/>
    </row>
    <row r="34" spans="3:60" ht="20.100000000000001" customHeight="1" x14ac:dyDescent="0.25">
      <c r="C34" s="56" t="str">
        <f t="shared" ref="C34:I34" si="25">IF(COUNTIF(J$3:J$21, "*М*")=0, J$1, "")</f>
        <v/>
      </c>
      <c r="D34" s="57" t="str">
        <f t="shared" si="25"/>
        <v/>
      </c>
      <c r="E34" s="57" t="str">
        <f t="shared" si="25"/>
        <v/>
      </c>
      <c r="F34" s="57" t="str">
        <f t="shared" si="25"/>
        <v/>
      </c>
      <c r="G34" s="57" t="str">
        <f t="shared" si="25"/>
        <v/>
      </c>
      <c r="H34" s="57" t="str">
        <f t="shared" si="25"/>
        <v/>
      </c>
      <c r="I34" s="58" t="str">
        <f t="shared" si="25"/>
        <v/>
      </c>
      <c r="J34" s="56" t="str">
        <f t="shared" ref="J34:P34" si="26">IF(COUNTIF(J3:J21, "*Оз*")=0, J1, "")</f>
        <v/>
      </c>
      <c r="K34" s="57" t="str">
        <f t="shared" si="26"/>
        <v/>
      </c>
      <c r="L34" s="57" t="str">
        <f t="shared" si="26"/>
        <v/>
      </c>
      <c r="M34" s="57" t="str">
        <f t="shared" si="26"/>
        <v/>
      </c>
      <c r="N34" s="57" t="str">
        <f t="shared" si="26"/>
        <v/>
      </c>
      <c r="O34" s="57" t="str">
        <f t="shared" si="26"/>
        <v/>
      </c>
      <c r="P34" s="58" t="str">
        <f t="shared" si="26"/>
        <v/>
      </c>
      <c r="Q34" s="56" t="str">
        <f t="shared" ref="Q34:W34" si="27">IF(COUNTIF(J3:J21, "Ц")=0, J1, "")</f>
        <v/>
      </c>
      <c r="R34" s="57" t="str">
        <f t="shared" si="27"/>
        <v/>
      </c>
      <c r="S34" s="57" t="str">
        <f t="shared" si="27"/>
        <v/>
      </c>
      <c r="T34" s="57" t="str">
        <f t="shared" si="27"/>
        <v/>
      </c>
      <c r="U34" s="57" t="str">
        <f t="shared" si="27"/>
        <v/>
      </c>
      <c r="V34" s="57" t="str">
        <f t="shared" si="27"/>
        <v/>
      </c>
      <c r="W34" s="58" t="str">
        <f t="shared" si="27"/>
        <v/>
      </c>
      <c r="X34" s="56" t="str">
        <f t="shared" ref="X34:AD34" si="28">IF(COUNTIF(J3:J21, "*А*")=0, J1, "")</f>
        <v/>
      </c>
      <c r="Y34" s="57" t="str">
        <f t="shared" si="28"/>
        <v/>
      </c>
      <c r="Z34" s="57" t="str">
        <f t="shared" si="28"/>
        <v/>
      </c>
      <c r="AA34" s="57" t="str">
        <f t="shared" si="28"/>
        <v/>
      </c>
      <c r="AB34" s="57" t="str">
        <f t="shared" si="28"/>
        <v/>
      </c>
      <c r="AC34" s="57" t="str">
        <f t="shared" si="28"/>
        <v/>
      </c>
      <c r="AD34" s="58" t="str">
        <f t="shared" si="28"/>
        <v/>
      </c>
      <c r="AE34" s="56" t="str">
        <f t="shared" ref="AE34:AK34" si="29">IF(COUNTIF(J$3:J$21, "*Ох*")=0, J$1, "")</f>
        <v/>
      </c>
      <c r="AF34" s="57" t="str">
        <f t="shared" si="29"/>
        <v/>
      </c>
      <c r="AG34" s="57" t="str">
        <f t="shared" si="29"/>
        <v/>
      </c>
      <c r="AH34" s="57" t="str">
        <f t="shared" si="29"/>
        <v/>
      </c>
      <c r="AI34" s="57" t="str">
        <f t="shared" si="29"/>
        <v/>
      </c>
      <c r="AJ34" s="57" t="str">
        <f t="shared" si="29"/>
        <v/>
      </c>
      <c r="AK34" s="58" t="str">
        <f t="shared" si="29"/>
        <v/>
      </c>
      <c r="AL34" s="56" t="str">
        <f t="shared" ref="AL34:AR34" si="30">IF(COUNTIF(J$3:J$21, "*П*")=0, J$1, "")</f>
        <v/>
      </c>
      <c r="AM34" s="57" t="str">
        <f t="shared" si="30"/>
        <v/>
      </c>
      <c r="AN34" s="57" t="str">
        <f t="shared" si="30"/>
        <v/>
      </c>
      <c r="AO34" s="57" t="str">
        <f t="shared" si="30"/>
        <v/>
      </c>
      <c r="AP34" s="57" t="str">
        <f t="shared" si="30"/>
        <v/>
      </c>
      <c r="AQ34" s="57" t="str">
        <f t="shared" si="30"/>
        <v/>
      </c>
      <c r="AR34" s="58" t="str">
        <f t="shared" si="30"/>
        <v/>
      </c>
      <c r="AZ34" s="96" t="s">
        <v>60</v>
      </c>
      <c r="BA34" s="93"/>
      <c r="BB34" s="93"/>
      <c r="BC34" s="93"/>
      <c r="BD34" s="93"/>
      <c r="BE34" s="94"/>
      <c r="BF34" s="97"/>
      <c r="BG34" s="93"/>
      <c r="BH34" s="94"/>
    </row>
    <row r="35" spans="3:60" x14ac:dyDescent="0.25">
      <c r="C35" s="56" t="str">
        <f t="shared" ref="C35:I35" si="31">IF(COUNTIF(Q3:Q21, "*М*")=0, Q$1, "")</f>
        <v/>
      </c>
      <c r="D35" s="57" t="str">
        <f t="shared" si="31"/>
        <v/>
      </c>
      <c r="E35" s="57" t="str">
        <f t="shared" si="31"/>
        <v/>
      </c>
      <c r="F35" s="57" t="str">
        <f t="shared" si="31"/>
        <v/>
      </c>
      <c r="G35" s="57" t="str">
        <f t="shared" si="31"/>
        <v/>
      </c>
      <c r="H35" s="57" t="str">
        <f t="shared" si="31"/>
        <v/>
      </c>
      <c r="I35" s="58" t="str">
        <f t="shared" si="31"/>
        <v/>
      </c>
      <c r="J35" s="56" t="str">
        <f t="shared" ref="J35:P35" si="32">IF(COUNTIF(Q3:Q21, "*Оз*")=0, Q1, "")</f>
        <v/>
      </c>
      <c r="K35" s="57" t="str">
        <f t="shared" si="32"/>
        <v/>
      </c>
      <c r="L35" s="57" t="str">
        <f t="shared" si="32"/>
        <v/>
      </c>
      <c r="M35" s="57" t="str">
        <f t="shared" si="32"/>
        <v/>
      </c>
      <c r="N35" s="57" t="str">
        <f t="shared" si="32"/>
        <v/>
      </c>
      <c r="O35" s="57" t="str">
        <f t="shared" si="32"/>
        <v/>
      </c>
      <c r="P35" s="58" t="str">
        <f t="shared" si="32"/>
        <v/>
      </c>
      <c r="Q35" s="56" t="str">
        <f t="shared" ref="Q35:W35" si="33">IF(COUNTIF(Q3:Q21, "Ц")=0, Q1, "")</f>
        <v/>
      </c>
      <c r="R35" s="57" t="str">
        <f t="shared" si="33"/>
        <v/>
      </c>
      <c r="S35" s="57" t="str">
        <f t="shared" si="33"/>
        <v/>
      </c>
      <c r="T35" s="57" t="str">
        <f t="shared" si="33"/>
        <v/>
      </c>
      <c r="U35" s="57" t="str">
        <f t="shared" si="33"/>
        <v/>
      </c>
      <c r="V35" s="57" t="str">
        <f t="shared" si="33"/>
        <v/>
      </c>
      <c r="W35" s="58" t="str">
        <f t="shared" si="33"/>
        <v/>
      </c>
      <c r="X35" s="56" t="str">
        <f t="shared" ref="X35:AD35" si="34">IF(COUNTIF(Q3:Q21, "*А*")=0, Q1, "")</f>
        <v/>
      </c>
      <c r="Y35" s="57" t="str">
        <f t="shared" si="34"/>
        <v/>
      </c>
      <c r="Z35" s="57" t="str">
        <f t="shared" si="34"/>
        <v/>
      </c>
      <c r="AA35" s="57" t="str">
        <f t="shared" si="34"/>
        <v/>
      </c>
      <c r="AB35" s="57" t="str">
        <f t="shared" si="34"/>
        <v/>
      </c>
      <c r="AC35" s="57" t="str">
        <f t="shared" si="34"/>
        <v/>
      </c>
      <c r="AD35" s="58" t="str">
        <f t="shared" si="34"/>
        <v/>
      </c>
      <c r="AE35" s="56" t="str">
        <f t="shared" ref="AE35:AK35" si="35">IF(COUNTIF(Q$3:Q$21, "*Ох*")=0, Q$1, "")</f>
        <v/>
      </c>
      <c r="AF35" s="57" t="str">
        <f t="shared" si="35"/>
        <v/>
      </c>
      <c r="AG35" s="57" t="str">
        <f t="shared" si="35"/>
        <v/>
      </c>
      <c r="AH35" s="57" t="str">
        <f t="shared" si="35"/>
        <v/>
      </c>
      <c r="AI35" s="57" t="str">
        <f t="shared" si="35"/>
        <v/>
      </c>
      <c r="AJ35" s="57" t="str">
        <f t="shared" si="35"/>
        <v/>
      </c>
      <c r="AK35" s="58" t="str">
        <f t="shared" si="35"/>
        <v/>
      </c>
      <c r="AL35" s="56" t="str">
        <f t="shared" ref="AL35:AR35" si="36">IF(COUNTIF(Q$3:Q$21, "*П*")=0, Q$1, "")</f>
        <v/>
      </c>
      <c r="AM35" s="57">
        <f t="shared" si="36"/>
        <v>16</v>
      </c>
      <c r="AN35" s="57" t="str">
        <f t="shared" si="36"/>
        <v/>
      </c>
      <c r="AO35" s="57" t="str">
        <f t="shared" si="36"/>
        <v/>
      </c>
      <c r="AP35" s="57" t="str">
        <f t="shared" si="36"/>
        <v/>
      </c>
      <c r="AQ35" s="57" t="str">
        <f t="shared" si="36"/>
        <v/>
      </c>
      <c r="AR35" s="58" t="str">
        <f t="shared" si="36"/>
        <v/>
      </c>
      <c r="AZ35" s="92" t="s">
        <v>66</v>
      </c>
      <c r="BA35" s="93"/>
      <c r="BB35" s="93"/>
      <c r="BC35" s="93"/>
      <c r="BD35" s="93"/>
      <c r="BE35" s="94"/>
      <c r="BF35" s="95"/>
      <c r="BG35" s="93"/>
      <c r="BH35" s="94"/>
    </row>
    <row r="36" spans="3:60" x14ac:dyDescent="0.25">
      <c r="C36" s="56" t="str">
        <f t="shared" ref="C36:I36" si="37">IF(COUNTIF(X$3:X$21, "*М*")=0, X$1, "")</f>
        <v/>
      </c>
      <c r="D36" s="57" t="str">
        <f t="shared" si="37"/>
        <v/>
      </c>
      <c r="E36" s="57" t="str">
        <f t="shared" si="37"/>
        <v/>
      </c>
      <c r="F36" s="57" t="str">
        <f t="shared" si="37"/>
        <v/>
      </c>
      <c r="G36" s="57" t="str">
        <f t="shared" si="37"/>
        <v/>
      </c>
      <c r="H36" s="57" t="str">
        <f t="shared" si="37"/>
        <v/>
      </c>
      <c r="I36" s="58" t="str">
        <f t="shared" si="37"/>
        <v/>
      </c>
      <c r="J36" s="56" t="str">
        <f t="shared" ref="J36:P36" si="38">IF(COUNTIF(X3:X21, "*Оз*")=0, X1, "")</f>
        <v/>
      </c>
      <c r="K36" s="57" t="str">
        <f t="shared" si="38"/>
        <v/>
      </c>
      <c r="L36" s="57" t="str">
        <f t="shared" si="38"/>
        <v/>
      </c>
      <c r="M36" s="57" t="str">
        <f t="shared" si="38"/>
        <v/>
      </c>
      <c r="N36" s="57" t="str">
        <f t="shared" si="38"/>
        <v/>
      </c>
      <c r="O36" s="57" t="str">
        <f t="shared" si="38"/>
        <v/>
      </c>
      <c r="P36" s="58" t="str">
        <f t="shared" si="38"/>
        <v/>
      </c>
      <c r="Q36" s="56" t="str">
        <f t="shared" ref="Q36:W36" si="39">IF(COUNTIF(X3:X21, "Ц")=0, X1, "")</f>
        <v/>
      </c>
      <c r="R36" s="57" t="str">
        <f t="shared" si="39"/>
        <v/>
      </c>
      <c r="S36" s="57" t="str">
        <f t="shared" si="39"/>
        <v/>
      </c>
      <c r="T36" s="57" t="str">
        <f t="shared" si="39"/>
        <v/>
      </c>
      <c r="U36" s="57" t="str">
        <f t="shared" si="39"/>
        <v/>
      </c>
      <c r="V36" s="57" t="str">
        <f t="shared" si="39"/>
        <v/>
      </c>
      <c r="W36" s="58" t="str">
        <f t="shared" si="39"/>
        <v/>
      </c>
      <c r="X36" s="56" t="str">
        <f t="shared" ref="X36:AD36" si="40">IF(COUNTIF(X3:X21, "*А*")=0, X1, "")</f>
        <v/>
      </c>
      <c r="Y36" s="57" t="str">
        <f t="shared" si="40"/>
        <v/>
      </c>
      <c r="Z36" s="57" t="str">
        <f t="shared" si="40"/>
        <v/>
      </c>
      <c r="AA36" s="57" t="str">
        <f t="shared" si="40"/>
        <v/>
      </c>
      <c r="AB36" s="57" t="str">
        <f t="shared" si="40"/>
        <v/>
      </c>
      <c r="AC36" s="57" t="str">
        <f t="shared" si="40"/>
        <v/>
      </c>
      <c r="AD36" s="58" t="str">
        <f t="shared" si="40"/>
        <v/>
      </c>
      <c r="AE36" s="56" t="str">
        <f>IF(COUNTIF(X$3:X$21, "*Ох*")=0, X$1, "")</f>
        <v/>
      </c>
      <c r="AF36" s="57" t="str">
        <f t="shared" ref="AF36:AK36" si="41">IF(COUNTIF(Y$3:Y$20, "*Ох*")=0, Y$1, "")</f>
        <v/>
      </c>
      <c r="AG36" s="57" t="str">
        <f t="shared" si="41"/>
        <v/>
      </c>
      <c r="AH36" s="57" t="str">
        <f t="shared" si="41"/>
        <v/>
      </c>
      <c r="AI36" s="57" t="str">
        <f t="shared" si="41"/>
        <v/>
      </c>
      <c r="AJ36" s="57" t="str">
        <f t="shared" si="41"/>
        <v/>
      </c>
      <c r="AK36" s="58" t="str">
        <f t="shared" si="41"/>
        <v/>
      </c>
      <c r="AL36" s="56" t="str">
        <f t="shared" ref="AL36:AQ36" si="42">IF(COUNTIF(X$3:X$21, "*П*")=0, X$1, "")</f>
        <v/>
      </c>
      <c r="AM36" s="57" t="str">
        <f t="shared" si="42"/>
        <v/>
      </c>
      <c r="AN36" s="57" t="str">
        <f t="shared" si="42"/>
        <v/>
      </c>
      <c r="AO36" s="57" t="str">
        <f t="shared" si="42"/>
        <v/>
      </c>
      <c r="AP36" s="57" t="str">
        <f t="shared" si="42"/>
        <v/>
      </c>
      <c r="AQ36" s="57" t="str">
        <f t="shared" si="42"/>
        <v/>
      </c>
      <c r="AR36" s="58" t="str">
        <f>IF(COUNTIF(AD$3:AD$20, "*П*")=0, AD$1, "")</f>
        <v/>
      </c>
      <c r="AZ36" s="96" t="s">
        <v>61</v>
      </c>
      <c r="BA36" s="93"/>
      <c r="BB36" s="93"/>
      <c r="BC36" s="93"/>
      <c r="BD36" s="93"/>
      <c r="BE36" s="94"/>
      <c r="BF36" s="97"/>
      <c r="BG36" s="93"/>
      <c r="BH36" s="94"/>
    </row>
    <row r="37" spans="3:60" ht="16.5" customHeight="1" thickBot="1" x14ac:dyDescent="0.3">
      <c r="C37" s="59" t="str">
        <f>IF(COUNTIF(AE$3:AE$21, "*М*")=0, AE$1, "")</f>
        <v/>
      </c>
      <c r="D37" s="60" t="str">
        <f>IF(COUNTIF(AF$3:AF$21, "*М*")=0, AF$1, "")</f>
        <v/>
      </c>
      <c r="E37" s="60" t="str">
        <f>IF(COUNTIF(AG$3:AG$21, "*М*")=0, AG$1, "")</f>
        <v/>
      </c>
      <c r="F37" s="60"/>
      <c r="G37" s="60"/>
      <c r="H37" s="60"/>
      <c r="I37" s="61"/>
      <c r="J37" s="59" t="str">
        <f>IF(COUNTIF(AE3:AE21, "*Оз*")=0, AE1, "")</f>
        <v/>
      </c>
      <c r="K37" s="60" t="str">
        <f>IF(COUNTIF(AF3:AF21, "*Оз*")=0, AF1, "")</f>
        <v/>
      </c>
      <c r="L37" s="60" t="str">
        <f>IF(COUNTIF(AG3:AG21, "*Оз*")=0, AG1, "")</f>
        <v/>
      </c>
      <c r="M37" s="60"/>
      <c r="N37" s="60"/>
      <c r="O37" s="60"/>
      <c r="P37" s="61"/>
      <c r="Q37" s="59" t="str">
        <f>IF(COUNTIF(AE3:AE21, "*Ц*")=0, AE1, "")</f>
        <v/>
      </c>
      <c r="R37" s="60" t="str">
        <f>IF(COUNTIF(AF3:AF21, "*Ц*")=0, AF1, "")</f>
        <v/>
      </c>
      <c r="S37" s="60" t="str">
        <f>IF(COUNTIF(AG3:AG21, "*Ц*")=0, AG1, "")</f>
        <v/>
      </c>
      <c r="T37" s="60"/>
      <c r="U37" s="60"/>
      <c r="V37" s="60"/>
      <c r="W37" s="61"/>
      <c r="X37" s="59" t="str">
        <f>IF(COUNTIF(AE3:AE21, "*А*")=0, AE1, "")</f>
        <v/>
      </c>
      <c r="Y37" s="60" t="str">
        <f>IF(COUNTIF(AF3:AF21, "*А*")=0, AF1, "")</f>
        <v/>
      </c>
      <c r="Z37" s="60" t="str">
        <f>IF(COUNTIF(AG3:AG21, "*А*")=0, AG1, "")</f>
        <v/>
      </c>
      <c r="AA37" s="60"/>
      <c r="AB37" s="60"/>
      <c r="AC37" s="60"/>
      <c r="AD37" s="61"/>
      <c r="AE37" s="59" t="str">
        <f>IF(COUNTIF(AE$3:AE$21, "*Ох*")=0, AE$1, "")</f>
        <v/>
      </c>
      <c r="AF37" s="60" t="str">
        <f>IF(COUNTIF(AF$3:AF$21, "*Ох*")=0, AF$1, "")</f>
        <v/>
      </c>
      <c r="AG37" s="60" t="str">
        <f>IF(COUNTIF(AG$3:AG$21, "*Ох*")=0, AG$1, "")</f>
        <v/>
      </c>
      <c r="AH37" s="60"/>
      <c r="AI37" s="60"/>
      <c r="AJ37" s="60"/>
      <c r="AK37" s="61"/>
      <c r="AL37" s="59" t="str">
        <f>IF(COUNTIF(AE$3:AE$21, "*П*")=0, AE$1, "")</f>
        <v/>
      </c>
      <c r="AM37" s="60" t="str">
        <f>IF(COUNTIF(AF$3:AF$21, "*П*")=0, AF$1, "")</f>
        <v/>
      </c>
      <c r="AN37" s="60" t="str">
        <f>IF(COUNTIF(AG$3:AG$21, "*П*")=0, AG$1, "")</f>
        <v/>
      </c>
      <c r="AO37" s="60"/>
      <c r="AP37" s="60"/>
      <c r="AQ37" s="60"/>
      <c r="AR37" s="61"/>
      <c r="AZ37" s="92" t="s">
        <v>64</v>
      </c>
      <c r="BA37" s="93"/>
      <c r="BB37" s="93"/>
      <c r="BC37" s="93"/>
      <c r="BD37" s="93"/>
      <c r="BE37" s="94"/>
      <c r="BF37" s="95"/>
      <c r="BG37" s="93"/>
      <c r="BH37" s="94"/>
    </row>
    <row r="38" spans="3:60" ht="16.5" customHeight="1" thickBot="1" x14ac:dyDescent="0.3">
      <c r="C38" s="82" t="s">
        <v>67</v>
      </c>
      <c r="D38" s="83"/>
      <c r="E38" s="83"/>
      <c r="F38" s="83"/>
      <c r="G38" s="83"/>
      <c r="H38" s="83"/>
      <c r="I38" s="84"/>
      <c r="AN38" s="1"/>
      <c r="AZ38" s="85" t="s">
        <v>67</v>
      </c>
      <c r="BA38" s="86"/>
      <c r="BB38" s="86"/>
      <c r="BC38" s="86"/>
      <c r="BD38" s="86"/>
      <c r="BE38" s="87"/>
      <c r="BF38" s="88"/>
      <c r="BG38" s="86"/>
      <c r="BH38" s="87"/>
    </row>
    <row r="39" spans="3:60" ht="16.5" thickBot="1" x14ac:dyDescent="0.3">
      <c r="C39" s="53">
        <f t="shared" ref="C39:I39" si="43">IF(COUNTIF(C$3:C$21, "*Р*")=0, C$1, "")</f>
        <v>1</v>
      </c>
      <c r="D39" s="54">
        <f t="shared" si="43"/>
        <v>2</v>
      </c>
      <c r="E39" s="54">
        <f t="shared" si="43"/>
        <v>3</v>
      </c>
      <c r="F39" s="54">
        <f t="shared" si="43"/>
        <v>4</v>
      </c>
      <c r="G39" s="54">
        <f t="shared" si="43"/>
        <v>5</v>
      </c>
      <c r="H39" s="54">
        <f t="shared" si="43"/>
        <v>6</v>
      </c>
      <c r="I39" s="55">
        <f t="shared" si="43"/>
        <v>7</v>
      </c>
      <c r="AN39" s="1"/>
      <c r="AZ39" s="89" t="s">
        <v>30</v>
      </c>
      <c r="BA39" s="83"/>
      <c r="BB39" s="83"/>
      <c r="BC39" s="83"/>
      <c r="BD39" s="83"/>
      <c r="BE39" s="90"/>
      <c r="BF39" s="91">
        <f>SUM(BF32:BH38)</f>
        <v>0</v>
      </c>
      <c r="BG39" s="83"/>
      <c r="BH39" s="90"/>
    </row>
    <row r="40" spans="3:60" x14ac:dyDescent="0.25">
      <c r="C40" s="56">
        <f t="shared" ref="C40:I40" si="44">IF(COUNTIF(J$3:J$21, "*Р*")=0, J$1, "")</f>
        <v>8</v>
      </c>
      <c r="D40" s="57">
        <f t="shared" si="44"/>
        <v>9</v>
      </c>
      <c r="E40" s="57">
        <f t="shared" si="44"/>
        <v>10</v>
      </c>
      <c r="F40" s="57">
        <f t="shared" si="44"/>
        <v>11</v>
      </c>
      <c r="G40" s="57">
        <f t="shared" si="44"/>
        <v>12</v>
      </c>
      <c r="H40" s="57">
        <f t="shared" si="44"/>
        <v>13</v>
      </c>
      <c r="I40" s="58">
        <f t="shared" si="44"/>
        <v>14</v>
      </c>
    </row>
    <row r="41" spans="3:60" x14ac:dyDescent="0.25">
      <c r="C41" s="56">
        <f t="shared" ref="C41:I41" si="45">IF(COUNTIF(Q$3:Q$21, "*Р*")=0, Q$1, "")</f>
        <v>15</v>
      </c>
      <c r="D41" s="57">
        <f t="shared" si="45"/>
        <v>16</v>
      </c>
      <c r="E41" s="57">
        <f t="shared" si="45"/>
        <v>17</v>
      </c>
      <c r="F41" s="57">
        <f t="shared" si="45"/>
        <v>18</v>
      </c>
      <c r="G41" s="57">
        <f t="shared" si="45"/>
        <v>19</v>
      </c>
      <c r="H41" s="57">
        <f t="shared" si="45"/>
        <v>20</v>
      </c>
      <c r="I41" s="58">
        <f t="shared" si="45"/>
        <v>21</v>
      </c>
    </row>
    <row r="42" spans="3:60" x14ac:dyDescent="0.25">
      <c r="C42" s="56">
        <f t="shared" ref="C42:I42" si="46">IF(COUNTIF(X$3:X$21, "Р")=0, X$1, "")</f>
        <v>22</v>
      </c>
      <c r="D42" s="57">
        <f t="shared" si="46"/>
        <v>23</v>
      </c>
      <c r="E42" s="57">
        <f t="shared" si="46"/>
        <v>24</v>
      </c>
      <c r="F42" s="57">
        <f t="shared" si="46"/>
        <v>25</v>
      </c>
      <c r="G42" s="57">
        <f t="shared" si="46"/>
        <v>26</v>
      </c>
      <c r="H42" s="57">
        <f t="shared" si="46"/>
        <v>27</v>
      </c>
      <c r="I42" s="58">
        <f t="shared" si="46"/>
        <v>28</v>
      </c>
    </row>
    <row r="43" spans="3:60" ht="16.5" customHeight="1" thickBot="1" x14ac:dyDescent="0.3">
      <c r="C43" s="59">
        <f>IF(COUNTIF(AE$3:AE$21, "*Р*")=0, AE$1, "")</f>
        <v>29</v>
      </c>
      <c r="D43" s="60">
        <f>IF(COUNTIF(AF$3:AF$21, "*Р*")=0, AF$1, "")</f>
        <v>30</v>
      </c>
      <c r="E43" s="60">
        <f>IF(COUNTIF(AG$3:AG$21, "*Р*")=0, AG$1, "")</f>
        <v>31</v>
      </c>
      <c r="F43" s="60"/>
      <c r="G43" s="60"/>
      <c r="H43" s="60"/>
      <c r="I43" s="61"/>
    </row>
    <row r="46" spans="3:60" ht="16.5" customHeight="1" x14ac:dyDescent="0.25"/>
    <row r="47" spans="3:60" ht="16.5" customHeight="1" x14ac:dyDescent="0.25"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AB47" s="63"/>
    </row>
    <row r="48" spans="3:60" x14ac:dyDescent="0.25"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3:15" x14ac:dyDescent="0.25"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3:15" x14ac:dyDescent="0.25"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3:15" x14ac:dyDescent="0.25"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3:15" x14ac:dyDescent="0.25"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3:15" ht="16.5" customHeight="1" x14ac:dyDescent="0.25"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3:15" ht="16.5" customHeight="1" x14ac:dyDescent="0.25"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3:15" x14ac:dyDescent="0.25"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3:15" x14ac:dyDescent="0.25"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3:15" ht="16.5" customHeight="1" x14ac:dyDescent="0.25"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3:15" x14ac:dyDescent="0.25"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3:15" x14ac:dyDescent="0.25"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3:15" ht="16.5" customHeight="1" x14ac:dyDescent="0.25"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3" spans="3:15" x14ac:dyDescent="0.25">
      <c r="M63" s="63"/>
    </row>
  </sheetData>
  <mergeCells count="452">
    <mergeCell ref="AH1:AK1"/>
    <mergeCell ref="AL1:AN1"/>
    <mergeCell ref="AO1:AT1"/>
    <mergeCell ref="AU1:CT1"/>
    <mergeCell ref="CU1:CW2"/>
    <mergeCell ref="AH2:AI2"/>
    <mergeCell ref="AJ2:AK2"/>
    <mergeCell ref="AO2:AP2"/>
    <mergeCell ref="AQ2:AR2"/>
    <mergeCell ref="AS2:AT2"/>
    <mergeCell ref="CQ2:CT2"/>
    <mergeCell ref="BS2:BV2"/>
    <mergeCell ref="BW2:BZ2"/>
    <mergeCell ref="CA2:CD2"/>
    <mergeCell ref="CE2:CH2"/>
    <mergeCell ref="CI2:CL2"/>
    <mergeCell ref="CM2:CP2"/>
    <mergeCell ref="AU2:AX2"/>
    <mergeCell ref="AY2:BB2"/>
    <mergeCell ref="BC2:BF2"/>
    <mergeCell ref="BG2:BJ2"/>
    <mergeCell ref="BK2:BN2"/>
    <mergeCell ref="BO2:BR2"/>
    <mergeCell ref="AH3:AI3"/>
    <mergeCell ref="AJ3:AK3"/>
    <mergeCell ref="AO3:AP3"/>
    <mergeCell ref="AQ3:AR3"/>
    <mergeCell ref="AS3:AT3"/>
    <mergeCell ref="AU3:AX3"/>
    <mergeCell ref="AY3:BB3"/>
    <mergeCell ref="BC3:BF3"/>
    <mergeCell ref="BG3:BJ3"/>
    <mergeCell ref="CI3:CL3"/>
    <mergeCell ref="CM3:CP3"/>
    <mergeCell ref="CQ3:CT3"/>
    <mergeCell ref="CU3:CW3"/>
    <mergeCell ref="AH4:AI4"/>
    <mergeCell ref="AJ4:AK4"/>
    <mergeCell ref="AO4:AP4"/>
    <mergeCell ref="AQ4:AR4"/>
    <mergeCell ref="AS4:AT4"/>
    <mergeCell ref="AU4:AX4"/>
    <mergeCell ref="BK3:BN3"/>
    <mergeCell ref="BO3:BR3"/>
    <mergeCell ref="BS3:BV3"/>
    <mergeCell ref="BW3:BZ3"/>
    <mergeCell ref="CA3:CD3"/>
    <mergeCell ref="CE3:CH3"/>
    <mergeCell ref="CU4:CW4"/>
    <mergeCell ref="BW4:BZ4"/>
    <mergeCell ref="CA4:CD4"/>
    <mergeCell ref="CE4:CH4"/>
    <mergeCell ref="CI4:CL4"/>
    <mergeCell ref="CM4:CP4"/>
    <mergeCell ref="CQ4:CT4"/>
    <mergeCell ref="AY4:BB4"/>
    <mergeCell ref="BC4:BF4"/>
    <mergeCell ref="BG4:BJ4"/>
    <mergeCell ref="BK4:BN4"/>
    <mergeCell ref="BO4:BR4"/>
    <mergeCell ref="BS4:BV4"/>
    <mergeCell ref="CI5:CL5"/>
    <mergeCell ref="CM5:CP5"/>
    <mergeCell ref="CQ5:CT5"/>
    <mergeCell ref="CU5:CW5"/>
    <mergeCell ref="BW5:BZ5"/>
    <mergeCell ref="CA5:CD5"/>
    <mergeCell ref="CE5:CH5"/>
    <mergeCell ref="BC5:BF5"/>
    <mergeCell ref="BG5:BJ5"/>
    <mergeCell ref="AH6:AI6"/>
    <mergeCell ref="AJ6:AK6"/>
    <mergeCell ref="AO6:AP6"/>
    <mergeCell ref="AQ6:AR6"/>
    <mergeCell ref="AS6:AT6"/>
    <mergeCell ref="AU6:AX6"/>
    <mergeCell ref="BK5:BN5"/>
    <mergeCell ref="BO5:BR5"/>
    <mergeCell ref="BS5:BV5"/>
    <mergeCell ref="AH5:AI5"/>
    <mergeCell ref="AJ5:AK5"/>
    <mergeCell ref="AO5:AP5"/>
    <mergeCell ref="AQ5:AR5"/>
    <mergeCell ref="AS5:AT5"/>
    <mergeCell ref="AU5:AX5"/>
    <mergeCell ref="AY5:BB5"/>
    <mergeCell ref="CU6:CW6"/>
    <mergeCell ref="AH7:AI7"/>
    <mergeCell ref="AJ7:AK7"/>
    <mergeCell ref="AO7:AP7"/>
    <mergeCell ref="AQ7:AR7"/>
    <mergeCell ref="AS7:AT7"/>
    <mergeCell ref="AU7:AX7"/>
    <mergeCell ref="AY7:BB7"/>
    <mergeCell ref="BC7:BF7"/>
    <mergeCell ref="BG7:BJ7"/>
    <mergeCell ref="BW6:BZ6"/>
    <mergeCell ref="CA6:CD6"/>
    <mergeCell ref="CE6:CH6"/>
    <mergeCell ref="CI6:CL6"/>
    <mergeCell ref="CM6:CP6"/>
    <mergeCell ref="CQ6:CT6"/>
    <mergeCell ref="AY6:BB6"/>
    <mergeCell ref="BC6:BF6"/>
    <mergeCell ref="BG6:BJ6"/>
    <mergeCell ref="BK6:BN6"/>
    <mergeCell ref="BO6:BR6"/>
    <mergeCell ref="BS6:BV6"/>
    <mergeCell ref="CI7:CL7"/>
    <mergeCell ref="CM7:CP7"/>
    <mergeCell ref="CQ7:CT7"/>
    <mergeCell ref="CU7:CW7"/>
    <mergeCell ref="AH8:AI8"/>
    <mergeCell ref="AJ8:AK8"/>
    <mergeCell ref="AO8:AP8"/>
    <mergeCell ref="AQ8:AR8"/>
    <mergeCell ref="AS8:AT8"/>
    <mergeCell ref="AU8:AX8"/>
    <mergeCell ref="BK7:BN7"/>
    <mergeCell ref="BO7:BR7"/>
    <mergeCell ref="BS7:BV7"/>
    <mergeCell ref="BW7:BZ7"/>
    <mergeCell ref="CA7:CD7"/>
    <mergeCell ref="CE7:CH7"/>
    <mergeCell ref="CU8:CW8"/>
    <mergeCell ref="BW8:BZ8"/>
    <mergeCell ref="CA8:CD8"/>
    <mergeCell ref="CE8:CH8"/>
    <mergeCell ref="CI8:CL8"/>
    <mergeCell ref="CM8:CP8"/>
    <mergeCell ref="CQ8:CT8"/>
    <mergeCell ref="AY8:BB8"/>
    <mergeCell ref="BC8:BF8"/>
    <mergeCell ref="BG8:BJ8"/>
    <mergeCell ref="AH9:AI9"/>
    <mergeCell ref="AJ9:AK9"/>
    <mergeCell ref="AO9:AP9"/>
    <mergeCell ref="AQ9:AR9"/>
    <mergeCell ref="AS9:AT9"/>
    <mergeCell ref="AU9:AX9"/>
    <mergeCell ref="AY9:BB9"/>
    <mergeCell ref="BC9:BF9"/>
    <mergeCell ref="BG9:BJ9"/>
    <mergeCell ref="BK8:BN8"/>
    <mergeCell ref="BO8:BR8"/>
    <mergeCell ref="BS8:BV8"/>
    <mergeCell ref="CI9:CL9"/>
    <mergeCell ref="CM9:CP9"/>
    <mergeCell ref="CQ9:CT9"/>
    <mergeCell ref="CU9:CW9"/>
    <mergeCell ref="AH10:AI10"/>
    <mergeCell ref="AJ10:AK10"/>
    <mergeCell ref="AO10:AP10"/>
    <mergeCell ref="AQ10:AR10"/>
    <mergeCell ref="AS10:AT10"/>
    <mergeCell ref="AU10:AX10"/>
    <mergeCell ref="BK9:BN9"/>
    <mergeCell ref="BO9:BR9"/>
    <mergeCell ref="BS9:BV9"/>
    <mergeCell ref="BW9:BZ9"/>
    <mergeCell ref="CA9:CD9"/>
    <mergeCell ref="CE9:CH9"/>
    <mergeCell ref="CU10:CW10"/>
    <mergeCell ref="BW10:BZ10"/>
    <mergeCell ref="CA10:CD10"/>
    <mergeCell ref="CE10:CH10"/>
    <mergeCell ref="CI10:CL10"/>
    <mergeCell ref="AH11:AI11"/>
    <mergeCell ref="AJ11:AK11"/>
    <mergeCell ref="AO11:AP11"/>
    <mergeCell ref="AQ11:AR11"/>
    <mergeCell ref="AS11:AT11"/>
    <mergeCell ref="AU11:AX11"/>
    <mergeCell ref="AY11:BB11"/>
    <mergeCell ref="BC11:BF11"/>
    <mergeCell ref="BG11:BJ11"/>
    <mergeCell ref="CM10:CP10"/>
    <mergeCell ref="CQ10:CT10"/>
    <mergeCell ref="AY10:BB10"/>
    <mergeCell ref="BC10:BF10"/>
    <mergeCell ref="BG10:BJ10"/>
    <mergeCell ref="BK10:BN10"/>
    <mergeCell ref="BO10:BR10"/>
    <mergeCell ref="BS10:BV10"/>
    <mergeCell ref="CI11:CL11"/>
    <mergeCell ref="CM11:CP11"/>
    <mergeCell ref="CQ11:CT11"/>
    <mergeCell ref="CU11:CW11"/>
    <mergeCell ref="AH12:AI12"/>
    <mergeCell ref="AJ12:AK12"/>
    <mergeCell ref="AO12:AP12"/>
    <mergeCell ref="AQ12:AR12"/>
    <mergeCell ref="AS12:AT12"/>
    <mergeCell ref="AU12:AX12"/>
    <mergeCell ref="BK11:BN11"/>
    <mergeCell ref="BO11:BR11"/>
    <mergeCell ref="BS11:BV11"/>
    <mergeCell ref="BW11:BZ11"/>
    <mergeCell ref="CA11:CD11"/>
    <mergeCell ref="CE11:CH11"/>
    <mergeCell ref="CU12:CW12"/>
    <mergeCell ref="BW12:BZ12"/>
    <mergeCell ref="CA12:CD12"/>
    <mergeCell ref="CE12:CH12"/>
    <mergeCell ref="CI12:CL12"/>
    <mergeCell ref="CM12:CP12"/>
    <mergeCell ref="CQ12:CT12"/>
    <mergeCell ref="AY12:BB12"/>
    <mergeCell ref="BC12:BF12"/>
    <mergeCell ref="BG12:BJ12"/>
    <mergeCell ref="BK12:BN12"/>
    <mergeCell ref="AH13:AI13"/>
    <mergeCell ref="AJ13:AK13"/>
    <mergeCell ref="AO13:AP13"/>
    <mergeCell ref="AQ13:AR13"/>
    <mergeCell ref="AS13:AT13"/>
    <mergeCell ref="AU13:AX13"/>
    <mergeCell ref="AY13:BB13"/>
    <mergeCell ref="BC13:BF13"/>
    <mergeCell ref="BG13:BJ13"/>
    <mergeCell ref="BO12:BR12"/>
    <mergeCell ref="BS12:BV12"/>
    <mergeCell ref="CI13:CL13"/>
    <mergeCell ref="CM13:CP13"/>
    <mergeCell ref="CQ13:CT13"/>
    <mergeCell ref="CU13:CW13"/>
    <mergeCell ref="AH14:AI14"/>
    <mergeCell ref="AJ14:AK14"/>
    <mergeCell ref="AO14:AP14"/>
    <mergeCell ref="AQ14:AR14"/>
    <mergeCell ref="AS14:AT14"/>
    <mergeCell ref="AU14:AX14"/>
    <mergeCell ref="BK13:BN13"/>
    <mergeCell ref="BO13:BR13"/>
    <mergeCell ref="BS13:BV13"/>
    <mergeCell ref="BW13:BZ13"/>
    <mergeCell ref="CA13:CD13"/>
    <mergeCell ref="CE13:CH13"/>
    <mergeCell ref="CU14:CW14"/>
    <mergeCell ref="BW14:BZ14"/>
    <mergeCell ref="CA14:CD14"/>
    <mergeCell ref="CE14:CH14"/>
    <mergeCell ref="CI14:CL14"/>
    <mergeCell ref="CM14:CP14"/>
    <mergeCell ref="AH15:AI15"/>
    <mergeCell ref="AJ15:AK15"/>
    <mergeCell ref="AO15:AP15"/>
    <mergeCell ref="AQ15:AR15"/>
    <mergeCell ref="AS15:AT15"/>
    <mergeCell ref="AU15:AX15"/>
    <mergeCell ref="AY15:BB15"/>
    <mergeCell ref="BC15:BF15"/>
    <mergeCell ref="BG15:BJ15"/>
    <mergeCell ref="CQ14:CT14"/>
    <mergeCell ref="AY14:BB14"/>
    <mergeCell ref="BC14:BF14"/>
    <mergeCell ref="BG14:BJ14"/>
    <mergeCell ref="BK14:BN14"/>
    <mergeCell ref="BO14:BR14"/>
    <mergeCell ref="BS14:BV14"/>
    <mergeCell ref="CI15:CL15"/>
    <mergeCell ref="CM15:CP15"/>
    <mergeCell ref="CQ15:CT15"/>
    <mergeCell ref="CU15:CW15"/>
    <mergeCell ref="AH16:AI16"/>
    <mergeCell ref="AJ16:AK16"/>
    <mergeCell ref="AO16:AP16"/>
    <mergeCell ref="AQ16:AR16"/>
    <mergeCell ref="AS16:AT16"/>
    <mergeCell ref="AU16:AX16"/>
    <mergeCell ref="BK15:BN15"/>
    <mergeCell ref="BO15:BR15"/>
    <mergeCell ref="BS15:BV15"/>
    <mergeCell ref="BW15:BZ15"/>
    <mergeCell ref="CA15:CD15"/>
    <mergeCell ref="CE15:CH15"/>
    <mergeCell ref="CU16:CW16"/>
    <mergeCell ref="BW16:BZ16"/>
    <mergeCell ref="CA16:CD16"/>
    <mergeCell ref="CE16:CH16"/>
    <mergeCell ref="CI16:CL16"/>
    <mergeCell ref="CM16:CP16"/>
    <mergeCell ref="CQ16:CT16"/>
    <mergeCell ref="AY16:BB16"/>
    <mergeCell ref="BC16:BF16"/>
    <mergeCell ref="BG16:BJ16"/>
    <mergeCell ref="BK16:BN16"/>
    <mergeCell ref="AH17:AI17"/>
    <mergeCell ref="AJ17:AK17"/>
    <mergeCell ref="AO17:AP17"/>
    <mergeCell ref="AQ17:AR17"/>
    <mergeCell ref="AS17:AT17"/>
    <mergeCell ref="AU17:AX17"/>
    <mergeCell ref="AY17:BB17"/>
    <mergeCell ref="BC17:BF17"/>
    <mergeCell ref="BG17:BJ17"/>
    <mergeCell ref="BO16:BR16"/>
    <mergeCell ref="BS16:BV16"/>
    <mergeCell ref="CI17:CL17"/>
    <mergeCell ref="CM17:CP17"/>
    <mergeCell ref="CQ17:CT17"/>
    <mergeCell ref="CU17:CW17"/>
    <mergeCell ref="AH18:AI18"/>
    <mergeCell ref="AJ18:AK18"/>
    <mergeCell ref="AO18:AP18"/>
    <mergeCell ref="AQ18:AR18"/>
    <mergeCell ref="AS18:AT18"/>
    <mergeCell ref="AU18:AX18"/>
    <mergeCell ref="BK17:BN17"/>
    <mergeCell ref="BO17:BR17"/>
    <mergeCell ref="BS17:BV17"/>
    <mergeCell ref="BW17:BZ17"/>
    <mergeCell ref="CA17:CD17"/>
    <mergeCell ref="CE17:CH17"/>
    <mergeCell ref="CU18:CW18"/>
    <mergeCell ref="BW18:BZ18"/>
    <mergeCell ref="CA18:CD18"/>
    <mergeCell ref="CE18:CH18"/>
    <mergeCell ref="CI18:CL18"/>
    <mergeCell ref="CM18:CP18"/>
    <mergeCell ref="BO21:BR21"/>
    <mergeCell ref="BS21:BV21"/>
    <mergeCell ref="CQ18:CT18"/>
    <mergeCell ref="AY18:BB18"/>
    <mergeCell ref="BC18:BF18"/>
    <mergeCell ref="BG18:BJ18"/>
    <mergeCell ref="BK18:BN18"/>
    <mergeCell ref="BO18:BR18"/>
    <mergeCell ref="BS18:BV18"/>
    <mergeCell ref="CI19:CL19"/>
    <mergeCell ref="CM19:CP19"/>
    <mergeCell ref="CQ19:CT19"/>
    <mergeCell ref="AY19:BB19"/>
    <mergeCell ref="BC19:BF19"/>
    <mergeCell ref="BG19:BJ19"/>
    <mergeCell ref="AH20:AI20"/>
    <mergeCell ref="AJ20:AK20"/>
    <mergeCell ref="AO20:AP20"/>
    <mergeCell ref="AQ20:AR20"/>
    <mergeCell ref="AS20:AT20"/>
    <mergeCell ref="AU20:AX20"/>
    <mergeCell ref="BK19:BN19"/>
    <mergeCell ref="BO19:BR19"/>
    <mergeCell ref="BS19:BV19"/>
    <mergeCell ref="AY20:BB20"/>
    <mergeCell ref="BC20:BF20"/>
    <mergeCell ref="BG20:BJ20"/>
    <mergeCell ref="BK20:BN20"/>
    <mergeCell ref="AH19:AI19"/>
    <mergeCell ref="AJ19:AK19"/>
    <mergeCell ref="AO19:AP19"/>
    <mergeCell ref="AQ19:AR19"/>
    <mergeCell ref="AS19:AT19"/>
    <mergeCell ref="AU19:AX19"/>
    <mergeCell ref="AY21:BB21"/>
    <mergeCell ref="BC21:BF21"/>
    <mergeCell ref="BG21:BJ21"/>
    <mergeCell ref="CU19:CW19"/>
    <mergeCell ref="BW19:BZ19"/>
    <mergeCell ref="CA19:CD19"/>
    <mergeCell ref="CE19:CH19"/>
    <mergeCell ref="CU20:CW20"/>
    <mergeCell ref="BW20:BZ20"/>
    <mergeCell ref="CA20:CD20"/>
    <mergeCell ref="CE20:CH20"/>
    <mergeCell ref="CI20:CL20"/>
    <mergeCell ref="CM20:CP20"/>
    <mergeCell ref="CQ20:CT20"/>
    <mergeCell ref="BO20:BR20"/>
    <mergeCell ref="BS20:BV20"/>
    <mergeCell ref="CI21:CL21"/>
    <mergeCell ref="CM21:CP21"/>
    <mergeCell ref="CQ21:CT21"/>
    <mergeCell ref="CU21:CW21"/>
    <mergeCell ref="BW21:BZ21"/>
    <mergeCell ref="CA21:CD21"/>
    <mergeCell ref="CE21:CH21"/>
    <mergeCell ref="BK21:BN21"/>
    <mergeCell ref="AH21:AI21"/>
    <mergeCell ref="AJ21:AK21"/>
    <mergeCell ref="AO21:AP21"/>
    <mergeCell ref="AQ21:AR21"/>
    <mergeCell ref="AS21:AT21"/>
    <mergeCell ref="AU21:AX21"/>
    <mergeCell ref="AH22:AK22"/>
    <mergeCell ref="AO22:AQ22"/>
    <mergeCell ref="AR22:AT22"/>
    <mergeCell ref="AU22:AX22"/>
    <mergeCell ref="AH23:AI23"/>
    <mergeCell ref="AJ23:AK23"/>
    <mergeCell ref="AO23:AQ23"/>
    <mergeCell ref="AR23:AT23"/>
    <mergeCell ref="AU23:CW23"/>
    <mergeCell ref="BG22:BJ22"/>
    <mergeCell ref="BK22:BN22"/>
    <mergeCell ref="BO22:BR22"/>
    <mergeCell ref="BS22:BV22"/>
    <mergeCell ref="BW22:BZ22"/>
    <mergeCell ref="CA22:CD22"/>
    <mergeCell ref="CE22:CH22"/>
    <mergeCell ref="CI22:CL22"/>
    <mergeCell ref="CM22:CP22"/>
    <mergeCell ref="CQ22:CT22"/>
    <mergeCell ref="CU22:CW22"/>
    <mergeCell ref="AY22:BB22"/>
    <mergeCell ref="BC22:BF22"/>
    <mergeCell ref="AT26:AX26"/>
    <mergeCell ref="AH27:AI27"/>
    <mergeCell ref="AJ27:AK27"/>
    <mergeCell ref="AO27:AS27"/>
    <mergeCell ref="AT27:AX27"/>
    <mergeCell ref="AH24:AI24"/>
    <mergeCell ref="AJ24:AK24"/>
    <mergeCell ref="AO24:AQ24"/>
    <mergeCell ref="AR24:AT24"/>
    <mergeCell ref="AU24:CW24"/>
    <mergeCell ref="AH25:AI25"/>
    <mergeCell ref="AJ25:AK25"/>
    <mergeCell ref="AO25:AQ25"/>
    <mergeCell ref="AR25:AT25"/>
    <mergeCell ref="AH28:AI28"/>
    <mergeCell ref="AJ28:AK28"/>
    <mergeCell ref="AH29:AI29"/>
    <mergeCell ref="AJ29:AK29"/>
    <mergeCell ref="AH30:AI30"/>
    <mergeCell ref="AJ30:AK30"/>
    <mergeCell ref="AH26:AI26"/>
    <mergeCell ref="AJ26:AK26"/>
    <mergeCell ref="AO26:AS26"/>
    <mergeCell ref="AZ32:BE32"/>
    <mergeCell ref="BF32:BH32"/>
    <mergeCell ref="AZ33:BE33"/>
    <mergeCell ref="BF33:BH33"/>
    <mergeCell ref="AZ34:BE34"/>
    <mergeCell ref="BF34:BH34"/>
    <mergeCell ref="C32:I32"/>
    <mergeCell ref="J32:P32"/>
    <mergeCell ref="Q32:W32"/>
    <mergeCell ref="X32:AD32"/>
    <mergeCell ref="AE32:AK32"/>
    <mergeCell ref="AL32:AR32"/>
    <mergeCell ref="C38:I38"/>
    <mergeCell ref="AZ38:BE38"/>
    <mergeCell ref="BF38:BH38"/>
    <mergeCell ref="AZ39:BE39"/>
    <mergeCell ref="BF39:BH39"/>
    <mergeCell ref="AZ35:BE35"/>
    <mergeCell ref="BF35:BH35"/>
    <mergeCell ref="AZ36:BE36"/>
    <mergeCell ref="BF36:BH36"/>
    <mergeCell ref="AZ37:BE37"/>
    <mergeCell ref="BF37:BH37"/>
  </mergeCells>
  <phoneticPr fontId="8" type="noConversion"/>
  <conditionalFormatting sqref="C3:AG15">
    <cfRule type="containsText" dxfId="123" priority="40" operator="containsText" text="Ц">
      <formula>NOT(ISERROR(SEARCH("Ц",C3)))</formula>
    </cfRule>
    <cfRule type="containsText" dxfId="122" priority="39" operator="containsText" text="Ох">
      <formula>NOT(ISERROR(SEARCH("Ох",C3)))</formula>
    </cfRule>
    <cfRule type="containsText" dxfId="121" priority="36" operator="containsText" text="Оз">
      <formula>NOT(ISERROR(SEARCH("Оз",C3)))</formula>
    </cfRule>
    <cfRule type="containsText" dxfId="120" priority="35" operator="containsText" text="П">
      <formula>NOT(ISERROR(SEARCH("П",C3)))</formula>
    </cfRule>
    <cfRule type="containsText" dxfId="119" priority="38" operator="containsText" text="М">
      <formula>NOT(ISERROR(SEARCH("М",C3)))</formula>
    </cfRule>
  </conditionalFormatting>
  <conditionalFormatting sqref="C3:AG21">
    <cfRule type="containsText" dxfId="118" priority="37" operator="containsText" text="А">
      <formula>NOT(ISERROR(SEARCH("А",C3)))</formula>
    </cfRule>
    <cfRule type="containsText" dxfId="117" priority="34" operator="containsText" text="Р">
      <formula>NOT(ISERROR(SEARCH("Р",C3)))</formula>
    </cfRule>
  </conditionalFormatting>
  <conditionalFormatting sqref="C23:AG29">
    <cfRule type="cellIs" dxfId="116" priority="54" operator="lessThan">
      <formula>1</formula>
    </cfRule>
    <cfRule type="cellIs" dxfId="115" priority="55" operator="greaterThan">
      <formula>1</formula>
    </cfRule>
    <cfRule type="cellIs" dxfId="114" priority="56" operator="equal">
      <formula>1</formula>
    </cfRule>
  </conditionalFormatting>
  <conditionalFormatting sqref="C30:AG30 AJ30">
    <cfRule type="cellIs" dxfId="113" priority="53" operator="greaterThanOrEqual">
      <formula>7</formula>
    </cfRule>
    <cfRule type="cellIs" dxfId="112" priority="52" operator="lessThan">
      <formula>7</formula>
    </cfRule>
  </conditionalFormatting>
  <conditionalFormatting sqref="C33:AR37 C39:I43">
    <cfRule type="expression" dxfId="111" priority="57">
      <formula>C33=""</formula>
    </cfRule>
    <cfRule type="expression" dxfId="110" priority="58">
      <formula>NOT(ISBLANK(C33))</formula>
    </cfRule>
  </conditionalFormatting>
  <conditionalFormatting sqref="J16:AG16 C16:AF19 AG19 C20:AG21">
    <cfRule type="containsText" dxfId="109" priority="51" operator="containsText" text="Ц">
      <formula>NOT(ISERROR(SEARCH("Ц",C16)))</formula>
    </cfRule>
    <cfRule type="containsText" dxfId="108" priority="50" operator="containsText" text="Ох">
      <formula>NOT(ISERROR(SEARCH("Ох",C16)))</formula>
    </cfRule>
    <cfRule type="containsText" dxfId="107" priority="49" operator="containsText" text="М">
      <formula>NOT(ISERROR(SEARCH("М",C16)))</formula>
    </cfRule>
    <cfRule type="containsText" dxfId="106" priority="48" operator="containsText" text="А">
      <formula>NOT(ISERROR(SEARCH("А",C16)))</formula>
    </cfRule>
    <cfRule type="containsText" dxfId="105" priority="47" operator="containsText" text="Оз">
      <formula>NOT(ISERROR(SEARCH("Оз",C16)))</formula>
    </cfRule>
    <cfRule type="containsText" dxfId="104" priority="46" operator="containsText" text="П">
      <formula>NOT(ISERROR(SEARCH("П",C16)))</formula>
    </cfRule>
    <cfRule type="containsText" dxfId="103" priority="45" operator="containsText" text="Р">
      <formula>NOT(ISERROR(SEARCH("Р",C16)))</formula>
    </cfRule>
  </conditionalFormatting>
  <conditionalFormatting sqref="N14">
    <cfRule type="containsText" dxfId="102" priority="15" operator="containsText" text="Р">
      <formula>NOT(ISERROR(SEARCH("Р",N14)))</formula>
    </cfRule>
    <cfRule type="containsText" dxfId="101" priority="16" operator="containsText" text="П">
      <formula>NOT(ISERROR(SEARCH("П",N14)))</formula>
    </cfRule>
    <cfRule type="containsText" dxfId="100" priority="17" operator="containsText" text="Оз">
      <formula>NOT(ISERROR(SEARCH("Оз",N14)))</formula>
    </cfRule>
    <cfRule type="containsText" dxfId="99" priority="18" operator="containsText" text="А">
      <formula>NOT(ISERROR(SEARCH("А",N14)))</formula>
    </cfRule>
    <cfRule type="containsText" dxfId="98" priority="19" operator="containsText" text="М">
      <formula>NOT(ISERROR(SEARCH("М",N14)))</formula>
    </cfRule>
    <cfRule type="containsText" dxfId="97" priority="20" operator="containsText" text="Ох">
      <formula>NOT(ISERROR(SEARCH("Ох",N14)))</formula>
    </cfRule>
    <cfRule type="containsText" dxfId="96" priority="21" operator="containsText" text="Ц">
      <formula>NOT(ISERROR(SEARCH("Ц",N14)))</formula>
    </cfRule>
  </conditionalFormatting>
  <conditionalFormatting sqref="V14">
    <cfRule type="containsText" dxfId="95" priority="13" operator="containsText" text="Ох">
      <formula>NOT(ISERROR(SEARCH("Ох",V14)))</formula>
    </cfRule>
    <cfRule type="containsText" dxfId="94" priority="14" operator="containsText" text="Ц">
      <formula>NOT(ISERROR(SEARCH("Ц",V14)))</formula>
    </cfRule>
    <cfRule type="containsText" dxfId="93" priority="8" operator="containsText" text="Р">
      <formula>NOT(ISERROR(SEARCH("Р",V14)))</formula>
    </cfRule>
    <cfRule type="containsText" dxfId="92" priority="9" operator="containsText" text="П">
      <formula>NOT(ISERROR(SEARCH("П",V14)))</formula>
    </cfRule>
    <cfRule type="containsText" dxfId="91" priority="10" operator="containsText" text="Оз">
      <formula>NOT(ISERROR(SEARCH("Оз",V14)))</formula>
    </cfRule>
    <cfRule type="containsText" dxfId="90" priority="11" operator="containsText" text="А">
      <formula>NOT(ISERROR(SEARCH("А",V14)))</formula>
    </cfRule>
    <cfRule type="containsText" dxfId="89" priority="12" operator="containsText" text="М">
      <formula>NOT(ISERROR(SEARCH("М",V14)))</formula>
    </cfRule>
  </conditionalFormatting>
  <conditionalFormatting sqref="AD14">
    <cfRule type="containsText" dxfId="88" priority="1" operator="containsText" text="Р">
      <formula>NOT(ISERROR(SEARCH("Р",AD14)))</formula>
    </cfRule>
    <cfRule type="containsText" dxfId="87" priority="7" operator="containsText" text="Ц">
      <formula>NOT(ISERROR(SEARCH("Ц",AD14)))</formula>
    </cfRule>
    <cfRule type="containsText" dxfId="86" priority="6" operator="containsText" text="Ох">
      <formula>NOT(ISERROR(SEARCH("Ох",AD14)))</formula>
    </cfRule>
    <cfRule type="containsText" dxfId="85" priority="5" operator="containsText" text="М">
      <formula>NOT(ISERROR(SEARCH("М",AD14)))</formula>
    </cfRule>
    <cfRule type="containsText" dxfId="84" priority="4" operator="containsText" text="А">
      <formula>NOT(ISERROR(SEARCH("А",AD14)))</formula>
    </cfRule>
    <cfRule type="containsText" dxfId="83" priority="3" operator="containsText" text="Оз">
      <formula>NOT(ISERROR(SEARCH("Оз",AD14)))</formula>
    </cfRule>
    <cfRule type="containsText" dxfId="82" priority="2" operator="containsText" text="П">
      <formula>NOT(ISERROR(SEARCH("П",AD14)))</formula>
    </cfRule>
  </conditionalFormatting>
  <conditionalFormatting sqref="AG9">
    <cfRule type="containsText" dxfId="81" priority="26" operator="containsText" text="Ц">
      <formula>NOT(ISERROR(SEARCH("Ц",AG9)))</formula>
    </cfRule>
    <cfRule type="containsText" dxfId="80" priority="25" operator="containsText" text="Ох">
      <formula>NOT(ISERROR(SEARCH("Ох",AG9)))</formula>
    </cfRule>
    <cfRule type="containsText" dxfId="79" priority="23" operator="containsText" text="Оз">
      <formula>NOT(ISERROR(SEARCH("Оз",AG9)))</formula>
    </cfRule>
    <cfRule type="containsText" dxfId="78" priority="22" operator="containsText" text="П">
      <formula>NOT(ISERROR(SEARCH("П",AG9)))</formula>
    </cfRule>
    <cfRule type="containsText" dxfId="77" priority="24" operator="containsText" text="М">
      <formula>NOT(ISERROR(SEARCH("М",AG9)))</formula>
    </cfRule>
  </conditionalFormatting>
  <conditionalFormatting sqref="AG16">
    <cfRule type="containsText" dxfId="76" priority="28" operator="containsText" text="П">
      <formula>NOT(ISERROR(SEARCH("П",AG16)))</formula>
    </cfRule>
    <cfRule type="containsText" dxfId="75" priority="27" operator="containsText" text="Р">
      <formula>NOT(ISERROR(SEARCH("Р",AG16)))</formula>
    </cfRule>
    <cfRule type="containsText" dxfId="74" priority="31" operator="containsText" text="М">
      <formula>NOT(ISERROR(SEARCH("М",AG16)))</formula>
    </cfRule>
    <cfRule type="containsText" dxfId="73" priority="32" operator="containsText" text="Ох">
      <formula>NOT(ISERROR(SEARCH("Ох",AG16)))</formula>
    </cfRule>
    <cfRule type="containsText" dxfId="72" priority="33" operator="containsText" text="Ц">
      <formula>NOT(ISERROR(SEARCH("Ц",AG16)))</formula>
    </cfRule>
    <cfRule type="containsText" dxfId="71" priority="30" operator="containsText" text="А">
      <formula>NOT(ISERROR(SEARCH("А",AG16)))</formula>
    </cfRule>
    <cfRule type="containsText" dxfId="70" priority="29" operator="containsText" text="Оз">
      <formula>NOT(ISERROR(SEARCH("Оз",AG16)))</formula>
    </cfRule>
  </conditionalFormatting>
  <conditionalFormatting sqref="AJ23:AJ29">
    <cfRule type="cellIs" dxfId="69" priority="59" operator="lessThan">
      <formula>30</formula>
    </cfRule>
    <cfRule type="cellIs" dxfId="68" priority="60" operator="greaterThanOrEqual">
      <formula>30</formula>
    </cfRule>
    <cfRule type="colorScale" priority="61">
      <colorScale>
        <cfvo type="formula" val="&quot;&gt;=30&quot;"/>
        <cfvo type="formula" val="&quot;&lt;30&quot;"/>
        <color rgb="FF00B050"/>
        <color rgb="FFFFEF9C"/>
      </colorScale>
    </cfRule>
  </conditionalFormatting>
  <conditionalFormatting sqref="AS3:AT21">
    <cfRule type="dataBar" priority="44">
      <dataBar>
        <cfvo type="min"/>
        <cfvo type="max"/>
        <color rgb="FFFF555A"/>
      </dataBar>
    </cfRule>
  </conditionalFormatting>
  <conditionalFormatting sqref="AU3:AX21">
    <cfRule type="dataBar" priority="43">
      <dataBar>
        <cfvo type="min"/>
        <cfvo type="max"/>
        <color rgb="FF63C384"/>
      </dataBar>
    </cfRule>
  </conditionalFormatting>
  <conditionalFormatting sqref="AY3:CL3 BS4:BV19 CA4:CD18 CE4:CL21 BW4:BZ21 AY4:BR21">
    <cfRule type="dataBar" priority="42">
      <dataBar>
        <cfvo type="min"/>
        <cfvo type="max"/>
        <color rgb="FF638EC6"/>
      </dataBar>
    </cfRule>
  </conditionalFormatting>
  <conditionalFormatting sqref="CQ3:CT21">
    <cfRule type="dataBar" priority="41">
      <dataBar>
        <cfvo type="min"/>
        <cfvo type="max"/>
        <color rgb="FFFFB628"/>
      </dataBar>
    </cfRule>
  </conditionalFormatting>
  <dataValidations count="4">
    <dataValidation type="list" allowBlank="1" showInputMessage="1" showErrorMessage="1" sqref="AT38 D38:D43 AT31" xr:uid="{2B5102B4-2703-41A4-A37E-ADDC41BD4057}">
      <formula1>"5%, 8%"</formula1>
    </dataValidation>
    <dataValidation type="list" allowBlank="1" showInputMessage="1" showErrorMessage="1" sqref="AS38 C38:C43 AS31" xr:uid="{947A2126-965B-4C8B-A82C-8DAF8EE85A36}">
      <formula1>"1%, 2%"</formula1>
    </dataValidation>
    <dataValidation type="list" allowBlank="1" showInputMessage="1" showErrorMessage="1" sqref="AL3:AL21" xr:uid="{4D2BFF94-8652-4DE9-95EC-5A0873A46935}">
      <formula1>"1%, 2%, 0%"</formula1>
    </dataValidation>
    <dataValidation type="list" allowBlank="1" showInputMessage="1" showErrorMessage="1" sqref="AM3:AM21" xr:uid="{B9232303-939B-4BAB-A1F7-3A480D6721EA}">
      <formula1>"0%, 5%, 8%"</formula1>
    </dataValidation>
  </dataValidations>
  <pageMargins left="0.7" right="0.7" top="0.75" bottom="0.75" header="0.3" footer="0.3"/>
  <pageSetup paperSize="9" scale="17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A088-53D3-4812-86DA-4B5C1C77FA88}">
  <sheetPr>
    <pageSetUpPr fitToPage="1"/>
  </sheetPr>
  <dimension ref="A1:DB63"/>
  <sheetViews>
    <sheetView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5" sqref="E5"/>
    </sheetView>
  </sheetViews>
  <sheetFormatPr defaultColWidth="12.42578125" defaultRowHeight="15.75" x14ac:dyDescent="0.25"/>
  <cols>
    <col min="1" max="1" width="19" style="75" customWidth="1"/>
    <col min="2" max="2" width="4.28515625" style="75" hidden="1" customWidth="1"/>
    <col min="3" max="19" width="4.140625" style="75" customWidth="1"/>
    <col min="20" max="20" width="4.28515625" style="75" customWidth="1"/>
    <col min="21" max="30" width="4.140625" style="75" customWidth="1"/>
    <col min="31" max="33" width="4.140625" style="75" hidden="1" customWidth="1"/>
    <col min="34" max="39" width="4.140625" style="75" customWidth="1"/>
    <col min="40" max="40" width="8.42578125" style="62" customWidth="1"/>
    <col min="41" max="105" width="4.140625" style="75" customWidth="1"/>
    <col min="106" max="107" width="12.42578125" style="75" customWidth="1"/>
    <col min="108" max="16384" width="12.42578125" style="75"/>
  </cols>
  <sheetData>
    <row r="1" spans="1:106" ht="20.100000000000001" customHeight="1" thickBot="1" x14ac:dyDescent="0.3">
      <c r="A1" s="75" t="s">
        <v>0</v>
      </c>
      <c r="B1" s="2">
        <v>46054.000011574077</v>
      </c>
      <c r="C1" s="65">
        <v>1</v>
      </c>
      <c r="D1" s="79">
        <v>2</v>
      </c>
      <c r="E1" s="78">
        <v>3</v>
      </c>
      <c r="F1" s="79">
        <v>4</v>
      </c>
      <c r="G1" s="78">
        <v>5</v>
      </c>
      <c r="H1" s="79">
        <v>6</v>
      </c>
      <c r="I1" s="65">
        <v>7</v>
      </c>
      <c r="J1" s="66">
        <v>8</v>
      </c>
      <c r="K1" s="79">
        <v>9</v>
      </c>
      <c r="L1" s="78">
        <v>10</v>
      </c>
      <c r="M1" s="79">
        <v>11</v>
      </c>
      <c r="N1" s="78">
        <v>12</v>
      </c>
      <c r="O1" s="79">
        <v>13</v>
      </c>
      <c r="P1" s="65">
        <v>14</v>
      </c>
      <c r="Q1" s="66">
        <v>15</v>
      </c>
      <c r="R1" s="79">
        <v>16</v>
      </c>
      <c r="S1" s="78">
        <v>17</v>
      </c>
      <c r="T1" s="79">
        <v>18</v>
      </c>
      <c r="U1" s="78">
        <v>19</v>
      </c>
      <c r="V1" s="79">
        <v>20</v>
      </c>
      <c r="W1" s="65">
        <v>21</v>
      </c>
      <c r="X1" s="66">
        <v>22</v>
      </c>
      <c r="Y1" s="79">
        <v>23</v>
      </c>
      <c r="Z1" s="78">
        <v>24</v>
      </c>
      <c r="AA1" s="79">
        <v>25</v>
      </c>
      <c r="AB1" s="78">
        <v>26</v>
      </c>
      <c r="AC1" s="79">
        <v>27</v>
      </c>
      <c r="AD1" s="65">
        <v>28</v>
      </c>
      <c r="AE1" s="4">
        <v>29</v>
      </c>
      <c r="AF1" s="3">
        <v>30</v>
      </c>
      <c r="AG1" s="66">
        <v>31</v>
      </c>
      <c r="AH1" s="176" t="s">
        <v>1</v>
      </c>
      <c r="AI1" s="83"/>
      <c r="AJ1" s="83"/>
      <c r="AK1" s="84"/>
      <c r="AL1" s="177" t="s">
        <v>2</v>
      </c>
      <c r="AM1" s="178"/>
      <c r="AN1" s="176"/>
      <c r="AO1" s="126" t="s">
        <v>3</v>
      </c>
      <c r="AP1" s="83"/>
      <c r="AQ1" s="83"/>
      <c r="AR1" s="83"/>
      <c r="AS1" s="83"/>
      <c r="AT1" s="84"/>
      <c r="AU1" s="126" t="s">
        <v>4</v>
      </c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4"/>
      <c r="CU1" s="179" t="s">
        <v>5</v>
      </c>
      <c r="CV1" s="180"/>
      <c r="CW1" s="181"/>
    </row>
    <row r="2" spans="1:106" ht="20.100000000000001" customHeight="1" thickBot="1" x14ac:dyDescent="0.3">
      <c r="A2" s="75" t="s">
        <v>0</v>
      </c>
      <c r="B2" s="5">
        <v>46081.999305555553</v>
      </c>
      <c r="C2" s="67" t="s">
        <v>12</v>
      </c>
      <c r="D2" s="81" t="s">
        <v>6</v>
      </c>
      <c r="E2" s="80" t="s">
        <v>7</v>
      </c>
      <c r="F2" s="81" t="s">
        <v>8</v>
      </c>
      <c r="G2" s="80" t="s">
        <v>9</v>
      </c>
      <c r="H2" s="81" t="s">
        <v>10</v>
      </c>
      <c r="I2" s="67" t="s">
        <v>11</v>
      </c>
      <c r="J2" s="68" t="s">
        <v>12</v>
      </c>
      <c r="K2" s="81" t="s">
        <v>6</v>
      </c>
      <c r="L2" s="80" t="s">
        <v>7</v>
      </c>
      <c r="M2" s="81" t="s">
        <v>8</v>
      </c>
      <c r="N2" s="80" t="s">
        <v>9</v>
      </c>
      <c r="O2" s="81" t="s">
        <v>10</v>
      </c>
      <c r="P2" s="67" t="s">
        <v>11</v>
      </c>
      <c r="Q2" s="68" t="s">
        <v>12</v>
      </c>
      <c r="R2" s="81" t="s">
        <v>6</v>
      </c>
      <c r="S2" s="80" t="s">
        <v>7</v>
      </c>
      <c r="T2" s="81" t="s">
        <v>8</v>
      </c>
      <c r="U2" s="80" t="s">
        <v>9</v>
      </c>
      <c r="V2" s="81" t="s">
        <v>10</v>
      </c>
      <c r="W2" s="67" t="s">
        <v>11</v>
      </c>
      <c r="X2" s="68" t="s">
        <v>12</v>
      </c>
      <c r="Y2" s="81" t="s">
        <v>6</v>
      </c>
      <c r="Z2" s="80" t="s">
        <v>7</v>
      </c>
      <c r="AA2" s="81" t="s">
        <v>8</v>
      </c>
      <c r="AB2" s="80" t="s">
        <v>9</v>
      </c>
      <c r="AC2" s="81" t="s">
        <v>10</v>
      </c>
      <c r="AD2" s="67" t="s">
        <v>11</v>
      </c>
      <c r="AE2" s="7" t="s">
        <v>9</v>
      </c>
      <c r="AF2" s="6" t="s">
        <v>10</v>
      </c>
      <c r="AG2" s="68" t="s">
        <v>11</v>
      </c>
      <c r="AH2" s="185" t="s">
        <v>13</v>
      </c>
      <c r="AI2" s="181"/>
      <c r="AJ2" s="186" t="s">
        <v>14</v>
      </c>
      <c r="AK2" s="181"/>
      <c r="AL2" s="73" t="s">
        <v>15</v>
      </c>
      <c r="AM2" s="73" t="s">
        <v>16</v>
      </c>
      <c r="AN2" s="73" t="s">
        <v>17</v>
      </c>
      <c r="AO2" s="186" t="s">
        <v>18</v>
      </c>
      <c r="AP2" s="181"/>
      <c r="AQ2" s="186" t="s">
        <v>19</v>
      </c>
      <c r="AR2" s="181"/>
      <c r="AS2" s="187" t="s">
        <v>20</v>
      </c>
      <c r="AT2" s="87"/>
      <c r="AU2" s="189" t="s">
        <v>21</v>
      </c>
      <c r="AV2" s="190"/>
      <c r="AW2" s="190"/>
      <c r="AX2" s="190"/>
      <c r="AY2" s="189" t="s">
        <v>22</v>
      </c>
      <c r="AZ2" s="190"/>
      <c r="BA2" s="190"/>
      <c r="BB2" s="190"/>
      <c r="BC2" s="189" t="s">
        <v>23</v>
      </c>
      <c r="BD2" s="190"/>
      <c r="BE2" s="190"/>
      <c r="BF2" s="190"/>
      <c r="BG2" s="189" t="s">
        <v>24</v>
      </c>
      <c r="BH2" s="190"/>
      <c r="BI2" s="190"/>
      <c r="BJ2" s="190"/>
      <c r="BK2" s="189" t="s">
        <v>25</v>
      </c>
      <c r="BL2" s="190"/>
      <c r="BM2" s="190"/>
      <c r="BN2" s="190"/>
      <c r="BO2" s="189" t="s">
        <v>26</v>
      </c>
      <c r="BP2" s="190"/>
      <c r="BQ2" s="190"/>
      <c r="BR2" s="190"/>
      <c r="BS2" s="189" t="s">
        <v>27</v>
      </c>
      <c r="BT2" s="190"/>
      <c r="BU2" s="190"/>
      <c r="BV2" s="190"/>
      <c r="BW2" s="189" t="s">
        <v>28</v>
      </c>
      <c r="BX2" s="190"/>
      <c r="BY2" s="190"/>
      <c r="BZ2" s="190"/>
      <c r="CA2" s="189" t="s">
        <v>29</v>
      </c>
      <c r="CB2" s="190"/>
      <c r="CC2" s="190"/>
      <c r="CD2" s="191"/>
      <c r="CE2" s="192" t="s">
        <v>30</v>
      </c>
      <c r="CF2" s="193"/>
      <c r="CG2" s="193"/>
      <c r="CH2" s="194"/>
      <c r="CI2" s="195" t="s">
        <v>31</v>
      </c>
      <c r="CJ2" s="183"/>
      <c r="CK2" s="183"/>
      <c r="CL2" s="183"/>
      <c r="CM2" s="196" t="s">
        <v>32</v>
      </c>
      <c r="CN2" s="183"/>
      <c r="CO2" s="183"/>
      <c r="CP2" s="183"/>
      <c r="CQ2" s="188" t="s">
        <v>33</v>
      </c>
      <c r="CR2" s="183"/>
      <c r="CS2" s="183"/>
      <c r="CT2" s="184"/>
      <c r="CU2" s="182"/>
      <c r="CV2" s="183"/>
      <c r="CW2" s="184"/>
    </row>
    <row r="3" spans="1:106" ht="20.100000000000001" customHeight="1" thickBot="1" x14ac:dyDescent="0.3">
      <c r="A3" s="9" t="s">
        <v>51</v>
      </c>
      <c r="B3" s="10"/>
      <c r="C3" s="17"/>
      <c r="D3" s="17"/>
      <c r="E3" s="17" t="s">
        <v>34</v>
      </c>
      <c r="F3" s="17" t="s">
        <v>34</v>
      </c>
      <c r="G3" s="17"/>
      <c r="H3" s="17"/>
      <c r="I3" s="17" t="s">
        <v>34</v>
      </c>
      <c r="J3" s="17" t="s">
        <v>34</v>
      </c>
      <c r="K3" s="17"/>
      <c r="L3" s="17"/>
      <c r="M3" s="17" t="s">
        <v>34</v>
      </c>
      <c r="N3" s="17" t="s">
        <v>34</v>
      </c>
      <c r="O3" s="17"/>
      <c r="P3" s="17"/>
      <c r="Q3" s="17" t="s">
        <v>34</v>
      </c>
      <c r="R3" s="17" t="s">
        <v>34</v>
      </c>
      <c r="S3" s="17"/>
      <c r="T3" s="17"/>
      <c r="U3" s="17" t="s">
        <v>34</v>
      </c>
      <c r="V3" s="17" t="s">
        <v>34</v>
      </c>
      <c r="W3" s="17"/>
      <c r="X3" s="17"/>
      <c r="Y3" s="17" t="s">
        <v>34</v>
      </c>
      <c r="Z3" s="17" t="s">
        <v>34</v>
      </c>
      <c r="AA3" s="17"/>
      <c r="AB3" s="17"/>
      <c r="AC3" s="17" t="s">
        <v>34</v>
      </c>
      <c r="AD3" s="17" t="s">
        <v>34</v>
      </c>
      <c r="AE3" s="11"/>
      <c r="AF3" s="11"/>
      <c r="AG3" s="64"/>
      <c r="AH3" s="154">
        <v>3500</v>
      </c>
      <c r="AI3" s="101"/>
      <c r="AJ3" s="101">
        <v>4000</v>
      </c>
      <c r="AK3" s="171"/>
      <c r="AL3" s="12">
        <v>0</v>
      </c>
      <c r="AM3" s="13">
        <v>0</v>
      </c>
      <c r="AN3" s="14">
        <v>0</v>
      </c>
      <c r="AO3" s="172">
        <f t="shared" ref="AO3:AO17" si="0">AS3-AQ3</f>
        <v>14</v>
      </c>
      <c r="AP3" s="142"/>
      <c r="AQ3" s="173">
        <f t="shared" ref="AQ3:AQ17" si="1">IF(AS3&gt;15, AS3-15, 0)</f>
        <v>0</v>
      </c>
      <c r="AR3" s="142"/>
      <c r="AS3" s="174">
        <f t="shared" ref="AS3:AS7" si="2">COUNTIF(C3:AG3, "М")+COUNTIF(C3:AG3, "Ц")+COUNTIF(C3:AG3, "П")+COUNTIF(C3:AG3, "Ох")+COUNTIF(C3:AG3, "Оз")+COUNTIF(C3:AG3, "А")+COUNTIF(C3:AG3, "Р")+(COUNTIF(C3:AG3, "05М")/2)+(COUNTIF(C3:AG3, "05Ц")/2)+(COUNTIF(C3:AG3, "05П")/2)+(COUNTIF(C3:AG3, "05Ох")/2)+(COUNTIF(C3:AG3, "05Оз")/2)+(COUNTIF(C3:AG3, "05А")/2)+(COUNTIF(C3:AG3, "05Р")/2)</f>
        <v>14</v>
      </c>
      <c r="AT3" s="170"/>
      <c r="AU3" s="175">
        <f>AO3*AH3+AQ3*AJ3</f>
        <v>49000</v>
      </c>
      <c r="AV3" s="142"/>
      <c r="AW3" s="142"/>
      <c r="AX3" s="170"/>
      <c r="AY3" s="141" cm="1">
        <f t="array" ref="AY3">SUMPRODUCT(
(RIGHT([1]Запрос1!$D$2:$D$43198,4)=RIGHT(A3,4))*
([1]Запрос1!$A$2:$A$43198&gt;=$B$1)*
([1]Запрос1!$A$2:$A$43198&lt;=$B$2)*
[1]Запрос1!$F$2:$F$43198)*AL3</f>
        <v>0</v>
      </c>
      <c r="AZ3" s="142"/>
      <c r="BA3" s="142"/>
      <c r="BB3" s="142"/>
      <c r="BC3" s="101" cm="1">
        <f t="array" ref="BC3">SUMPRODUCT(
  (RIGHT([2]Запрос1!$E$2:$E$2465,4) = RIGHT(A3,4)) *
  ([2]Запрос1!$A$2:$A$2465 &gt;= $B$1) *
  ([2]Запрос1!$A$2:$A$2465 &lt;= $B$2) *
[2]Запрос1!$I$2:$I$2465
)*AM3</f>
        <v>0</v>
      </c>
      <c r="BD3" s="142"/>
      <c r="BE3" s="142"/>
      <c r="BF3" s="142"/>
      <c r="BG3" s="143" cm="1">
        <f t="array" ref="BG3">SUMPRODUCT(
    --(RIGHT([3]Запрос1!$C$2:$C$5232,4) = RIGHT(A3,4)),
    --([3]Запрос1!$E$2:$E$5232 &gt;= $B$1),
    --([3]Запрос1!$E$2:$E$5232 &lt;= $B$2)
)*AN3</f>
        <v>0</v>
      </c>
      <c r="BH3" s="143"/>
      <c r="BI3" s="143"/>
      <c r="BJ3" s="143"/>
      <c r="BK3" s="101" cm="1">
        <f t="array" ref="BK3">SUMPRODUCT(
(RIGHT([4]Запрос1!$E$2:$E$5389,4)=RIGHT(A3,4))*
([4]Запрос1!$A$2:$A$5389&gt;=$B$1)*
([4]Запрос1!$A$2:$A$5389&lt;=$B$2)*
[4]Запрос1!$J$2:$J$5389
)*0.01</f>
        <v>0</v>
      </c>
      <c r="BL3" s="142"/>
      <c r="BM3" s="142"/>
      <c r="BN3" s="142"/>
      <c r="BO3" s="101">
        <v>0</v>
      </c>
      <c r="BP3" s="142"/>
      <c r="BQ3" s="142"/>
      <c r="BR3" s="142"/>
      <c r="BS3" s="101"/>
      <c r="BT3" s="142"/>
      <c r="BU3" s="142"/>
      <c r="BV3" s="142"/>
      <c r="BW3" s="101">
        <f>IF(AND(C3="Ц",COUNTIF($C$3:$C$21,"Ц")=1),1000,0) +
IF(AND(D3="Ц",COUNTIF($D$3:$D$21,"Ц")=1),1000,0) +
IF(AND(E3="Ц",COUNTIF($E$3:$E$21,"Ц")=1),1000,0) +
IF(AND(F3="Ц",COUNTIF($F$3:$F$21,"Ц")=1),1000,0) +
IF(AND(G3="Ц",COUNTIF($G$3:$G$21,"Ц")=1),1000,0) +
IF(AND(H3="Ц",COUNTIF($H$3:$H$21,"Ц")=1),1000,0) +
IF(AND(I3="Ц",COUNTIF($I$3:$I$21,"Ц")=1),1000,0) +
IF(AND(J3="Ц",COUNTIF($J$3:$J$21,"Ц")=1),1000,0) +
IF(AND(K3="Ц",COUNTIF($K$3:$K$21,"Ц")=1),1000,0) +
IF(AND(L3="Ц",COUNTIF($L$3:$L$21,"Ц")=1),1000,0) +
IF(AND(M3="Ц",COUNTIF($M$3:$M$21,"Ц")=1),1000,0) +
IF(AND(N3="Ц",COUNTIF($N$3:$N$21,"Ц")=1),1000,0) +
IF(AND(O3="Ц",COUNTIF($O$3:$O$21,"Ц")=1),1000,0) +
IF(AND(P3="Ц",COUNTIF($P$3:$P$21,"Ц")=1),1000,0) +
IF(AND(Q3="Ц",COUNTIF($Q$3:$Q$21,"Ц")=1),1000,0) +
IF(AND(R3="Ц",COUNTIF($R$3:$R$21,"Ц")=1),1000,0) +
IF(AND(S3="Ц",COUNTIF($S$3:$S$21,"Ц")=1),1000,0) +
IF(AND(T3="Ц",COUNTIF($T$3:$T$21,"Ц")=1),1000,0) +
IF(AND(U3="Ц",COUNTIF($U$3:$U$21,"Ц")=1),1000,0) +
IF(AND(V3="Ц",COUNTIF($V$3:$V$21,"Ц")=1),1000,0) +
IF(AND(W3="Ц",COUNTIF($W$3:$W$21,"Ц")=1),1000,0) +
IF(AND(X3="Ц",COUNTIF($X$3:$X$21,"Ц")=1),1000,0) +
IF(AND(Y3="Ц",COUNTIF($Y$3:$Y$21,"Ц")=1),1000,0) +
IF(AND(Z3="Ц",COUNTIF($Z$3:$Z$21,"Ц")=1),1000,0) +
IF(AND(AA3="Ц",COUNTIF($AA$3:$AA$21,"Ц")=1),1000,0) +
IF(AND(AB3="Ц",COUNTIF($AB$3:$AB$21,"Ц")=1),1000,0) +
IF(AND(AC3="Ц",COUNTIF($AC$3:$AC$21,"Ц")=1),1000,0) +
IF(AND(AD3="Ц",COUNTIF($AD$3:$AD$21,"Ц")=1),1000,0) +
IF(AND(AE3="Ц",COUNTIF($AE$3:$AE$21,"Ц")=1),1000,0) +
IF(AND(AF3="Ц",COUNTIF($AF$3:$AF$21,"Ц")=1),1000,0) +
IF(AND(AG3="Ц",COUNTIF($AG$3:$AG$21,"Ц")=1),1000,0)</f>
        <v>14000</v>
      </c>
      <c r="BX3" s="142"/>
      <c r="BY3" s="142"/>
      <c r="BZ3" s="142"/>
      <c r="CA3" s="101"/>
      <c r="CB3" s="142"/>
      <c r="CC3" s="142"/>
      <c r="CD3" s="170"/>
      <c r="CE3" s="169">
        <f>SUM(AU3:CD3)</f>
        <v>63000</v>
      </c>
      <c r="CF3" s="142"/>
      <c r="CG3" s="142"/>
      <c r="CH3" s="142"/>
      <c r="CI3" s="101"/>
      <c r="CJ3" s="142"/>
      <c r="CK3" s="142"/>
      <c r="CL3" s="142"/>
      <c r="CM3" s="101"/>
      <c r="CN3" s="142"/>
      <c r="CO3" s="142"/>
      <c r="CP3" s="168"/>
      <c r="CQ3" s="154">
        <f>(AU3+SUM(AY3:CD3))-SUM(CI3:CP3)</f>
        <v>63000</v>
      </c>
      <c r="CR3" s="99"/>
      <c r="CS3" s="99"/>
      <c r="CT3" s="100"/>
      <c r="CU3" s="169">
        <f t="shared" ref="CU3:CU17" si="3">AJ3*AQ3-AH3*AQ3</f>
        <v>0</v>
      </c>
      <c r="CV3" s="99"/>
      <c r="CW3" s="125"/>
    </row>
    <row r="4" spans="1:106" ht="20.100000000000001" customHeight="1" thickBot="1" x14ac:dyDescent="0.3">
      <c r="A4" s="15" t="s">
        <v>35</v>
      </c>
      <c r="B4" s="10"/>
      <c r="C4" s="17" t="s">
        <v>34</v>
      </c>
      <c r="D4" s="17" t="s">
        <v>34</v>
      </c>
      <c r="E4" s="17"/>
      <c r="F4" s="17"/>
      <c r="G4" s="17" t="s">
        <v>34</v>
      </c>
      <c r="H4" s="17" t="s">
        <v>34</v>
      </c>
      <c r="I4" s="17"/>
      <c r="J4" s="17"/>
      <c r="K4" s="17" t="s">
        <v>34</v>
      </c>
      <c r="L4" s="17" t="s">
        <v>34</v>
      </c>
      <c r="M4" s="17"/>
      <c r="N4" s="17"/>
      <c r="O4" s="17" t="s">
        <v>34</v>
      </c>
      <c r="P4" s="17" t="s">
        <v>34</v>
      </c>
      <c r="Q4" s="17"/>
      <c r="R4" s="17"/>
      <c r="S4" s="17" t="s">
        <v>34</v>
      </c>
      <c r="T4" s="17" t="s">
        <v>34</v>
      </c>
      <c r="U4" s="17"/>
      <c r="V4" s="17"/>
      <c r="W4" s="17" t="s">
        <v>34</v>
      </c>
      <c r="X4" s="17" t="s">
        <v>34</v>
      </c>
      <c r="Y4" s="17"/>
      <c r="Z4" s="17"/>
      <c r="AA4" s="17" t="s">
        <v>34</v>
      </c>
      <c r="AB4" s="17" t="s">
        <v>34</v>
      </c>
      <c r="AC4" s="17"/>
      <c r="AD4" s="17"/>
      <c r="AE4" s="17"/>
      <c r="AF4" s="17"/>
      <c r="AG4" s="25"/>
      <c r="AH4" s="158">
        <v>3500</v>
      </c>
      <c r="AI4" s="152"/>
      <c r="AJ4" s="152">
        <v>4000</v>
      </c>
      <c r="AK4" s="159"/>
      <c r="AL4" s="18">
        <v>0</v>
      </c>
      <c r="AM4" s="19">
        <v>0</v>
      </c>
      <c r="AN4" s="20">
        <v>0</v>
      </c>
      <c r="AO4" s="160">
        <f t="shared" si="0"/>
        <v>14</v>
      </c>
      <c r="AP4" s="146"/>
      <c r="AQ4" s="161">
        <f t="shared" si="1"/>
        <v>0</v>
      </c>
      <c r="AR4" s="146"/>
      <c r="AS4" s="166">
        <f t="shared" si="2"/>
        <v>14</v>
      </c>
      <c r="AT4" s="147"/>
      <c r="AU4" s="162">
        <f t="shared" ref="AU4:AU21" si="4">AO4*AH4+AQ4*AJ4</f>
        <v>49000</v>
      </c>
      <c r="AV4" s="146"/>
      <c r="AW4" s="146"/>
      <c r="AX4" s="147"/>
      <c r="AY4" s="141" cm="1">
        <f t="array" ref="AY4">SUMPRODUCT(
(RIGHT([1]Запрос1!$D$2:$D$43198,4)=RIGHT(A4,4))*
([1]Запрос1!$A$2:$A$43198&gt;=$B$1)*
([1]Запрос1!$A$2:$A$43198&lt;=$B$2)*
[1]Запрос1!$F$2:$F$43198)*AL4</f>
        <v>0</v>
      </c>
      <c r="AZ4" s="142"/>
      <c r="BA4" s="142"/>
      <c r="BB4" s="142"/>
      <c r="BC4" s="101" cm="1">
        <f t="array" ref="BC4">SUMPRODUCT(
  (RIGHT([2]Запрос1!$E$2:$E$2465,4) = RIGHT(A4,4)) *
  ([2]Запрос1!$A$2:$A$2465 &gt;= $B$1) *
  ([2]Запрос1!$A$2:$A$2465 &lt;= $B$2) *
[2]Запрос1!$I$2:$I$2465
)*AM4</f>
        <v>0</v>
      </c>
      <c r="BD4" s="142"/>
      <c r="BE4" s="142"/>
      <c r="BF4" s="142"/>
      <c r="BG4" s="143" cm="1">
        <f t="array" ref="BG4">SUMPRODUCT(
    --(RIGHT([3]Запрос1!$C$2:$C$5232,4) = RIGHT(A4,4)),
    --([3]Запрос1!$E$2:$E$5232 &gt;= $B$1),
    --([3]Запрос1!$E$2:$E$5232 &lt;= $B$2)
)*AN4</f>
        <v>0</v>
      </c>
      <c r="BH4" s="143"/>
      <c r="BI4" s="143"/>
      <c r="BJ4" s="143"/>
      <c r="BK4" s="101" cm="1">
        <f t="array" ref="BK4">SUMPRODUCT(
(RIGHT([4]Запрос1!$E$2:$E$5389,4)=RIGHT(A4,4))*
([4]Запрос1!$A$2:$A$5389&gt;=$B$1)*
([4]Запрос1!$A$2:$A$5389&lt;=$B$2)*
[4]Запрос1!$J$2:$J$5389
)*0.01</f>
        <v>0</v>
      </c>
      <c r="BL4" s="142"/>
      <c r="BM4" s="142"/>
      <c r="BN4" s="142"/>
      <c r="BO4" s="101" cm="1">
        <f t="array" ref="BO4">SUMPRODUCT(
  (RIGHT([5]Запрос1!$E$2:$E$5270,4) = RIGHT(A4,4)) *
  ([5]Запрос1!$A$2:$A$5270 &gt;= $B$1) *
  ([5]Запрос1!$A$2:$A$5270 &lt;= $B$2) *
[5]Запрос1!$I$2:$I$5270
)*0.25</f>
        <v>0</v>
      </c>
      <c r="BP4" s="142"/>
      <c r="BQ4" s="142"/>
      <c r="BR4" s="142"/>
      <c r="BS4" s="97"/>
      <c r="BT4" s="146"/>
      <c r="BU4" s="146"/>
      <c r="BV4" s="146"/>
      <c r="BW4" s="101">
        <f t="shared" ref="BW4:BW14" si="5">IF(AND(C4="Ц",COUNTIF($C$3:$C$21,"Ц")=1),1000,0) +
IF(AND(D4="Ц",COUNTIF($D$3:$D$21,"Ц")=1),1000,0) +
IF(AND(E4="Ц",COUNTIF($E$3:$E$21,"Ц")=1),1000,0) +
IF(AND(F4="Ц",COUNTIF($F$3:$F$21,"Ц")=1),1000,0) +
IF(AND(G4="Ц",COUNTIF($G$3:$G$21,"Ц")=1),1000,0) +
IF(AND(H4="Ц",COUNTIF($H$3:$H$21,"Ц")=1),1000,0) +
IF(AND(I4="Ц",COUNTIF($I$3:$I$21,"Ц")=1),1000,0) +
IF(AND(J4="Ц",COUNTIF($J$3:$J$21,"Ц")=1),1000,0) +
IF(AND(K4="Ц",COUNTIF($K$3:$K$21,"Ц")=1),1000,0) +
IF(AND(L4="Ц",COUNTIF($L$3:$L$21,"Ц")=1),1000,0) +
IF(AND(M4="Ц",COUNTIF($M$3:$M$21,"Ц")=1),1000,0) +
IF(AND(N4="Ц",COUNTIF($N$3:$N$21,"Ц")=1),1000,0) +
IF(AND(O4="Ц",COUNTIF($O$3:$O$21,"Ц")=1),1000,0) +
IF(AND(P4="Ц",COUNTIF($P$3:$P$21,"Ц")=1),1000,0) +
IF(AND(Q4="Ц",COUNTIF($Q$3:$Q$21,"Ц")=1),1000,0) +
IF(AND(R4="Ц",COUNTIF($R$3:$R$21,"Ц")=1),1000,0) +
IF(AND(S4="Ц",COUNTIF($S$3:$S$21,"Ц")=1),1000,0) +
IF(AND(T4="Ц",COUNTIF($T$3:$T$21,"Ц")=1),1000,0) +
IF(AND(U4="Ц",COUNTIF($U$3:$U$21,"Ц")=1),1000,0) +
IF(AND(V4="Ц",COUNTIF($V$3:$V$21,"Ц")=1),1000,0) +
IF(AND(W4="Ц",COUNTIF($W$3:$W$21,"Ц")=1),1000,0) +
IF(AND(X4="Ц",COUNTIF($X$3:$X$21,"Ц")=1),1000,0) +
IF(AND(Y4="Ц",COUNTIF($Y$3:$Y$21,"Ц")=1),1000,0) +
IF(AND(Z4="Ц",COUNTIF($Z$3:$Z$21,"Ц")=1),1000,0) +
IF(AND(AA4="Ц",COUNTIF($AA$3:$AA$21,"Ц")=1),1000,0) +
IF(AND(AB4="Ц",COUNTIF($AB$3:$AB$21,"Ц")=1),1000,0) +
IF(AND(AC4="Ц",COUNTIF($AC$3:$AC$21,"Ц")=1),1000,0) +
IF(AND(AD4="Ц",COUNTIF($AD$3:$AD$21,"Ц")=1),1000,0) +
IF(AND(AE4="Ц",COUNTIF($AE$3:$AE$21,"Ц")=1),1000,0) +
IF(AND(AF4="Ц",COUNTIF($AF$3:$AF$21,"Ц")=1),1000,0) +
IF(AND(AG4="Ц",COUNTIF($AG$3:$AG$21,"Ц")=1),1000,0)</f>
        <v>14000</v>
      </c>
      <c r="BX4" s="142"/>
      <c r="BY4" s="142"/>
      <c r="BZ4" s="142"/>
      <c r="CA4" s="97"/>
      <c r="CB4" s="146"/>
      <c r="CC4" s="146"/>
      <c r="CD4" s="147"/>
      <c r="CE4" s="148">
        <f t="shared" ref="CE4:CE21" si="6">SUM(AU4:CD4)</f>
        <v>63000</v>
      </c>
      <c r="CF4" s="146"/>
      <c r="CG4" s="146"/>
      <c r="CH4" s="146"/>
      <c r="CI4" s="97"/>
      <c r="CJ4" s="146"/>
      <c r="CK4" s="146"/>
      <c r="CL4" s="146"/>
      <c r="CM4" s="152"/>
      <c r="CN4" s="146"/>
      <c r="CO4" s="146"/>
      <c r="CP4" s="153"/>
      <c r="CQ4" s="154">
        <f>(AU4+SUM(AY4:CD4))-SUM(CI4:CP4)</f>
        <v>63000</v>
      </c>
      <c r="CR4" s="99"/>
      <c r="CS4" s="99"/>
      <c r="CT4" s="100"/>
      <c r="CU4" s="165">
        <f t="shared" si="3"/>
        <v>0</v>
      </c>
      <c r="CV4" s="93"/>
      <c r="CW4" s="106"/>
    </row>
    <row r="5" spans="1:106" ht="20.100000000000001" customHeight="1" thickBot="1" x14ac:dyDescent="0.3">
      <c r="A5" s="15" t="s">
        <v>36</v>
      </c>
      <c r="B5" s="10"/>
      <c r="C5" s="17"/>
      <c r="D5" s="17"/>
      <c r="E5" s="17"/>
      <c r="F5" s="17" t="s">
        <v>37</v>
      </c>
      <c r="G5" s="17" t="s">
        <v>37</v>
      </c>
      <c r="H5" s="17" t="s">
        <v>37</v>
      </c>
      <c r="I5" s="17"/>
      <c r="J5" s="17"/>
      <c r="K5" s="17"/>
      <c r="L5" s="17" t="s">
        <v>37</v>
      </c>
      <c r="M5" s="17" t="s">
        <v>37</v>
      </c>
      <c r="N5" s="17" t="s">
        <v>37</v>
      </c>
      <c r="O5" s="17"/>
      <c r="P5" s="17"/>
      <c r="Q5" s="17"/>
      <c r="R5" s="17" t="s">
        <v>37</v>
      </c>
      <c r="S5" s="17" t="s">
        <v>37</v>
      </c>
      <c r="T5" s="17" t="s">
        <v>37</v>
      </c>
      <c r="U5" s="17"/>
      <c r="V5" s="17"/>
      <c r="W5" s="17"/>
      <c r="X5" s="17" t="s">
        <v>37</v>
      </c>
      <c r="Y5" s="17" t="s">
        <v>37</v>
      </c>
      <c r="Z5" s="17" t="s">
        <v>37</v>
      </c>
      <c r="AA5" s="17"/>
      <c r="AB5" s="17"/>
      <c r="AC5" s="17"/>
      <c r="AD5" s="17" t="s">
        <v>37</v>
      </c>
      <c r="AE5" s="17"/>
      <c r="AF5" s="17"/>
      <c r="AG5" s="17"/>
      <c r="AH5" s="131">
        <v>3000</v>
      </c>
      <c r="AI5" s="97"/>
      <c r="AJ5" s="97">
        <v>3500</v>
      </c>
      <c r="AK5" s="132"/>
      <c r="AL5" s="21">
        <v>0.01</v>
      </c>
      <c r="AM5" s="22">
        <v>0.05</v>
      </c>
      <c r="AN5" s="23">
        <v>1000</v>
      </c>
      <c r="AO5" s="163">
        <f t="shared" si="0"/>
        <v>13</v>
      </c>
      <c r="AP5" s="146"/>
      <c r="AQ5" s="164">
        <f t="shared" si="1"/>
        <v>0</v>
      </c>
      <c r="AR5" s="146"/>
      <c r="AS5" s="167">
        <f t="shared" si="2"/>
        <v>13</v>
      </c>
      <c r="AT5" s="147"/>
      <c r="AU5" s="162">
        <f t="shared" si="4"/>
        <v>39000</v>
      </c>
      <c r="AV5" s="146"/>
      <c r="AW5" s="146"/>
      <c r="AX5" s="147"/>
      <c r="AY5" s="141" cm="1">
        <f t="array" ref="AY5">SUMPRODUCT(
(RIGHT([1]Запрос1!$D$2:$D$43198,4)=RIGHT(A5,4))*
([1]Запрос1!$A$2:$A$43198&gt;=$B$1)*
([1]Запрос1!$A$2:$A$43198&lt;=$B$2)*
[1]Запрос1!$F$2:$F$43198)*AL5</f>
        <v>0</v>
      </c>
      <c r="AZ5" s="142"/>
      <c r="BA5" s="142"/>
      <c r="BB5" s="142"/>
      <c r="BC5" s="101" cm="1">
        <f t="array" ref="BC5">SUMPRODUCT(
  (RIGHT([2]Запрос1!$E$2:$E$2465,4) = RIGHT(A5,4)) *
  ([2]Запрос1!$A$2:$A$2465 &gt;= $B$1) *
  ([2]Запрос1!$A$2:$A$2465 &lt;= $B$2) *
[2]Запрос1!$I$2:$I$2465
)*AM5</f>
        <v>0</v>
      </c>
      <c r="BD5" s="142"/>
      <c r="BE5" s="142"/>
      <c r="BF5" s="142"/>
      <c r="BG5" s="143" cm="1">
        <f t="array" ref="BG5">SUMPRODUCT(
    --(RIGHT([3]Запрос1!$C$2:$C$5232,4) = RIGHT(A5,4)),
    --([3]Запрос1!$E$2:$E$5232 &gt;= $B$1),
    --([3]Запрос1!$E$2:$E$5232 &lt;= $B$2)
)*AN5</f>
        <v>1000</v>
      </c>
      <c r="BH5" s="143"/>
      <c r="BI5" s="143"/>
      <c r="BJ5" s="143"/>
      <c r="BK5" s="101" cm="1">
        <f t="array" ref="BK5">SUMPRODUCT(
(RIGHT([4]Запрос1!$E$2:$E$5389,4)=RIGHT(A5,4))*
([4]Запрос1!$A$2:$A$5389&gt;=$B$1)*
([4]Запрос1!$A$2:$A$5389&lt;=$B$2)*
[4]Запрос1!$J$2:$J$5389
)*0.01</f>
        <v>0</v>
      </c>
      <c r="BL5" s="142"/>
      <c r="BM5" s="142"/>
      <c r="BN5" s="142"/>
      <c r="BO5" s="101" cm="1">
        <f t="array" ref="BO5">SUMPRODUCT(
  (RIGHT([5]Запрос1!$E$2:$E$5270,4) = RIGHT(A5,4)) *
  ([5]Запрос1!$A$2:$A$5270 &gt;= $B$1) *
  ([5]Запрос1!$A$2:$A$5270 &lt;= $B$2) *
[5]Запрос1!$I$2:$I$5270
)*0.25</f>
        <v>0</v>
      </c>
      <c r="BP5" s="142"/>
      <c r="BQ5" s="142"/>
      <c r="BR5" s="142"/>
      <c r="BS5" s="97"/>
      <c r="BT5" s="146"/>
      <c r="BU5" s="146"/>
      <c r="BV5" s="146"/>
      <c r="BW5" s="101">
        <f t="shared" si="5"/>
        <v>0</v>
      </c>
      <c r="BX5" s="142"/>
      <c r="BY5" s="142"/>
      <c r="BZ5" s="142"/>
      <c r="CA5" s="97"/>
      <c r="CB5" s="146"/>
      <c r="CC5" s="146"/>
      <c r="CD5" s="147"/>
      <c r="CE5" s="148">
        <f t="shared" si="6"/>
        <v>40000</v>
      </c>
      <c r="CF5" s="146"/>
      <c r="CG5" s="146"/>
      <c r="CH5" s="146"/>
      <c r="CI5" s="97"/>
      <c r="CJ5" s="146"/>
      <c r="CK5" s="146"/>
      <c r="CL5" s="146"/>
      <c r="CM5" s="97"/>
      <c r="CN5" s="146"/>
      <c r="CO5" s="146"/>
      <c r="CP5" s="153"/>
      <c r="CQ5" s="154">
        <f t="shared" ref="CQ5:CQ20" si="7">(AU5+SUM(AY5:CD5))-SUM(CI5:CP5)</f>
        <v>40000</v>
      </c>
      <c r="CR5" s="99"/>
      <c r="CS5" s="99"/>
      <c r="CT5" s="100"/>
      <c r="CU5" s="148">
        <f t="shared" si="3"/>
        <v>0</v>
      </c>
      <c r="CV5" s="93"/>
      <c r="CW5" s="106"/>
    </row>
    <row r="6" spans="1:106" ht="20.100000000000001" customHeight="1" thickBot="1" x14ac:dyDescent="0.3">
      <c r="A6" s="15" t="s">
        <v>38</v>
      </c>
      <c r="B6" s="10"/>
      <c r="C6" s="17" t="s">
        <v>37</v>
      </c>
      <c r="D6" s="17" t="s">
        <v>37</v>
      </c>
      <c r="E6" s="17" t="s">
        <v>37</v>
      </c>
      <c r="F6" s="17"/>
      <c r="G6" s="17"/>
      <c r="H6" s="17"/>
      <c r="I6" s="17" t="s">
        <v>37</v>
      </c>
      <c r="J6" s="17" t="s">
        <v>37</v>
      </c>
      <c r="K6" s="17" t="s">
        <v>37</v>
      </c>
      <c r="L6" s="17"/>
      <c r="M6" s="17"/>
      <c r="N6" s="17"/>
      <c r="O6" s="17" t="s">
        <v>37</v>
      </c>
      <c r="P6" s="17" t="s">
        <v>37</v>
      </c>
      <c r="Q6" s="17" t="s">
        <v>37</v>
      </c>
      <c r="R6" s="17"/>
      <c r="S6" s="17"/>
      <c r="T6" s="17"/>
      <c r="U6" s="17" t="s">
        <v>37</v>
      </c>
      <c r="V6" s="17" t="s">
        <v>37</v>
      </c>
      <c r="W6" s="17" t="s">
        <v>37</v>
      </c>
      <c r="X6" s="17"/>
      <c r="Y6" s="17"/>
      <c r="Z6" s="17"/>
      <c r="AA6" s="17" t="s">
        <v>37</v>
      </c>
      <c r="AB6" s="17" t="s">
        <v>37</v>
      </c>
      <c r="AC6" s="17" t="s">
        <v>37</v>
      </c>
      <c r="AD6" s="17"/>
      <c r="AE6" s="17"/>
      <c r="AF6" s="17"/>
      <c r="AG6" s="17"/>
      <c r="AH6" s="158">
        <v>3000</v>
      </c>
      <c r="AI6" s="152"/>
      <c r="AJ6" s="152">
        <v>3500</v>
      </c>
      <c r="AK6" s="159"/>
      <c r="AL6" s="18">
        <v>0.01</v>
      </c>
      <c r="AM6" s="19">
        <v>0.05</v>
      </c>
      <c r="AN6" s="20">
        <v>1000</v>
      </c>
      <c r="AO6" s="160">
        <f t="shared" si="0"/>
        <v>15</v>
      </c>
      <c r="AP6" s="146"/>
      <c r="AQ6" s="161">
        <f t="shared" si="1"/>
        <v>0</v>
      </c>
      <c r="AR6" s="146"/>
      <c r="AS6" s="166">
        <f t="shared" si="2"/>
        <v>15</v>
      </c>
      <c r="AT6" s="147"/>
      <c r="AU6" s="162">
        <f t="shared" si="4"/>
        <v>45000</v>
      </c>
      <c r="AV6" s="146"/>
      <c r="AW6" s="146"/>
      <c r="AX6" s="147"/>
      <c r="AY6" s="141" cm="1">
        <f t="array" ref="AY6">SUMPRODUCT(
(RIGHT([1]Запрос1!$D$2:$D$43198,4)=RIGHT(A6,4))*
([1]Запрос1!$A$2:$A$43198&gt;=$B$1)*
([1]Запрос1!$A$2:$A$43198&lt;=$B$2)*
[1]Запрос1!$F$2:$F$43198)*AL6</f>
        <v>64.8</v>
      </c>
      <c r="AZ6" s="142"/>
      <c r="BA6" s="142"/>
      <c r="BB6" s="142"/>
      <c r="BC6" s="101" cm="1">
        <f t="array" ref="BC6">SUMPRODUCT(
  (RIGHT([2]Запрос1!$E$2:$E$2465,4) = RIGHT(A6,4)) *
  ([2]Запрос1!$A$2:$A$2465 &gt;= $B$1) *
  ([2]Запрос1!$A$2:$A$2465 &lt;= $B$2) *
[2]Запрос1!$I$2:$I$2465
)*AM6</f>
        <v>0</v>
      </c>
      <c r="BD6" s="142"/>
      <c r="BE6" s="142"/>
      <c r="BF6" s="142"/>
      <c r="BG6" s="143" cm="1">
        <f t="array" ref="BG6">SUMPRODUCT(
    --(RIGHT([3]Запрос1!$C$2:$C$5232,4) = RIGHT(A6,4)),
    --([3]Запрос1!$E$2:$E$5232 &gt;= $B$1),
    --([3]Запрос1!$E$2:$E$5232 &lt;= $B$2)
)*AN6</f>
        <v>1000</v>
      </c>
      <c r="BH6" s="143"/>
      <c r="BI6" s="143"/>
      <c r="BJ6" s="143"/>
      <c r="BK6" s="101" cm="1">
        <f t="array" ref="BK6">SUMPRODUCT(
(RIGHT([4]Запрос1!$E$2:$E$5389,4)=RIGHT(A6,4))*
([4]Запрос1!$A$2:$A$5389&gt;=$B$1)*
([4]Запрос1!$A$2:$A$5389&lt;=$B$2)*
[4]Запрос1!$J$2:$J$5389
)*0.01</f>
        <v>0</v>
      </c>
      <c r="BL6" s="142"/>
      <c r="BM6" s="142"/>
      <c r="BN6" s="142"/>
      <c r="BO6" s="101" cm="1">
        <f t="array" ref="BO6">SUMPRODUCT(
  (RIGHT([5]Запрос1!$E$2:$E$5270,4) = RIGHT(A6,4)) *
  ([5]Запрос1!$A$2:$A$5270 &gt;= $B$1) *
  ([5]Запрос1!$A$2:$A$5270 &lt;= $B$2) *
[5]Запрос1!$I$2:$I$5270
)*0.25</f>
        <v>0</v>
      </c>
      <c r="BP6" s="142"/>
      <c r="BQ6" s="142"/>
      <c r="BR6" s="142"/>
      <c r="BS6" s="97"/>
      <c r="BT6" s="146"/>
      <c r="BU6" s="146"/>
      <c r="BV6" s="146"/>
      <c r="BW6" s="101">
        <f t="shared" si="5"/>
        <v>0</v>
      </c>
      <c r="BX6" s="142"/>
      <c r="BY6" s="142"/>
      <c r="BZ6" s="142"/>
      <c r="CA6" s="97"/>
      <c r="CB6" s="146"/>
      <c r="CC6" s="146"/>
      <c r="CD6" s="147"/>
      <c r="CE6" s="148">
        <f t="shared" si="6"/>
        <v>46064.800000000003</v>
      </c>
      <c r="CF6" s="146"/>
      <c r="CG6" s="146"/>
      <c r="CH6" s="146"/>
      <c r="CI6" s="97"/>
      <c r="CJ6" s="146"/>
      <c r="CK6" s="146"/>
      <c r="CL6" s="146"/>
      <c r="CM6" s="152"/>
      <c r="CN6" s="146"/>
      <c r="CO6" s="146"/>
      <c r="CP6" s="153"/>
      <c r="CQ6" s="154">
        <f t="shared" si="7"/>
        <v>46064.800000000003</v>
      </c>
      <c r="CR6" s="99"/>
      <c r="CS6" s="99"/>
      <c r="CT6" s="100"/>
      <c r="CU6" s="165">
        <f t="shared" si="3"/>
        <v>0</v>
      </c>
      <c r="CV6" s="93"/>
      <c r="CW6" s="106"/>
    </row>
    <row r="7" spans="1:106" ht="19.5" customHeight="1" thickBot="1" x14ac:dyDescent="0.3">
      <c r="A7" s="15" t="s">
        <v>39</v>
      </c>
      <c r="B7" s="10"/>
      <c r="C7" s="17" t="s">
        <v>40</v>
      </c>
      <c r="D7" s="17" t="s">
        <v>40</v>
      </c>
      <c r="E7" s="17"/>
      <c r="F7" s="17"/>
      <c r="G7" s="17" t="s">
        <v>40</v>
      </c>
      <c r="H7" s="17" t="s">
        <v>40</v>
      </c>
      <c r="I7" s="17" t="s">
        <v>40</v>
      </c>
      <c r="J7" s="17"/>
      <c r="K7" s="17" t="s">
        <v>40</v>
      </c>
      <c r="L7" s="17" t="s">
        <v>40</v>
      </c>
      <c r="M7" s="17" t="s">
        <v>40</v>
      </c>
      <c r="N7" s="17"/>
      <c r="O7" s="17" t="s">
        <v>40</v>
      </c>
      <c r="P7" s="17" t="s">
        <v>40</v>
      </c>
      <c r="Q7" s="17"/>
      <c r="R7" s="17"/>
      <c r="S7" s="17" t="s">
        <v>40</v>
      </c>
      <c r="T7" s="17" t="s">
        <v>40</v>
      </c>
      <c r="U7" s="17"/>
      <c r="V7" s="17" t="s">
        <v>40</v>
      </c>
      <c r="W7" s="17"/>
      <c r="X7" s="17" t="s">
        <v>40</v>
      </c>
      <c r="Y7" s="17"/>
      <c r="Z7" s="17"/>
      <c r="AA7" s="17" t="s">
        <v>40</v>
      </c>
      <c r="AB7" s="17" t="s">
        <v>40</v>
      </c>
      <c r="AC7" s="17" t="s">
        <v>40</v>
      </c>
      <c r="AD7" s="17"/>
      <c r="AE7" s="17"/>
      <c r="AF7" s="17"/>
      <c r="AG7" s="25"/>
      <c r="AH7" s="131">
        <v>4000</v>
      </c>
      <c r="AI7" s="97"/>
      <c r="AJ7" s="97">
        <v>4000</v>
      </c>
      <c r="AK7" s="132"/>
      <c r="AL7" s="21">
        <v>0.01</v>
      </c>
      <c r="AM7" s="22">
        <v>0.05</v>
      </c>
      <c r="AN7" s="23">
        <v>300</v>
      </c>
      <c r="AO7" s="163">
        <f t="shared" si="0"/>
        <v>15</v>
      </c>
      <c r="AP7" s="146"/>
      <c r="AQ7" s="164">
        <f t="shared" si="1"/>
        <v>2</v>
      </c>
      <c r="AR7" s="146"/>
      <c r="AS7" s="167">
        <f t="shared" si="2"/>
        <v>17</v>
      </c>
      <c r="AT7" s="147"/>
      <c r="AU7" s="162">
        <f t="shared" si="4"/>
        <v>68000</v>
      </c>
      <c r="AV7" s="146"/>
      <c r="AW7" s="146"/>
      <c r="AX7" s="147"/>
      <c r="AY7" s="141" cm="1">
        <f t="array" ref="AY7">SUMPRODUCT(
(RIGHT([1]Запрос1!$D$2:$D$43198,4)=RIGHT(A7,4))*
([1]Запрос1!$A$2:$A$43198&gt;=$B$1)*
([1]Запрос1!$A$2:$A$43198&lt;=$B$2)*
[1]Запрос1!$F$2:$F$43198)*AL7</f>
        <v>84.7</v>
      </c>
      <c r="AZ7" s="142"/>
      <c r="BA7" s="142"/>
      <c r="BB7" s="142"/>
      <c r="BC7" s="101" cm="1">
        <f t="array" ref="BC7">SUMPRODUCT(
  (RIGHT([2]Запрос1!$E$2:$E$2465,4) = RIGHT(A7,4)) *
  ([2]Запрос1!$A$2:$A$2465 &gt;= $B$1) *
  ([2]Запрос1!$A$2:$A$2465 &lt;= $B$2) *
[2]Запрос1!$I$2:$I$2465
)*AM7</f>
        <v>121</v>
      </c>
      <c r="BD7" s="142"/>
      <c r="BE7" s="142"/>
      <c r="BF7" s="142"/>
      <c r="BG7" s="143" cm="1">
        <f t="array" ref="BG7">SUMPRODUCT(
    --(RIGHT([3]Запрос1!$C$2:$C$5232,4) = RIGHT(A7,4)),
    --([3]Запрос1!$E$2:$E$5232 &gt;= $B$1),
    --([3]Запрос1!$E$2:$E$5232 &lt;= $B$2)
)*AN7</f>
        <v>0</v>
      </c>
      <c r="BH7" s="143"/>
      <c r="BI7" s="143"/>
      <c r="BJ7" s="143"/>
      <c r="BK7" s="101" cm="1">
        <f t="array" ref="BK7">SUMPRODUCT(
(RIGHT([4]Запрос1!$E$2:$E$5389,4)=RIGHT(A7,4))*
([4]Запрос1!$A$2:$A$5389&gt;=$B$1)*
([4]Запрос1!$A$2:$A$5389&lt;=$B$2)*
[4]Запрос1!$J$2:$J$5389
)*0.01</f>
        <v>0</v>
      </c>
      <c r="BL7" s="142"/>
      <c r="BM7" s="142"/>
      <c r="BN7" s="142"/>
      <c r="BO7" s="101" cm="1">
        <f t="array" ref="BO7">SUMPRODUCT(
  (RIGHT([5]Запрос1!$E$2:$E$5270,4) = RIGHT(A7,4)) *
  ([5]Запрос1!$A$2:$A$5270 &gt;= $B$1) *
  ([5]Запрос1!$A$2:$A$5270 &lt;= $B$2) *
[5]Запрос1!$I$2:$I$5270
)*0.25</f>
        <v>0</v>
      </c>
      <c r="BP7" s="142"/>
      <c r="BQ7" s="142"/>
      <c r="BR7" s="142"/>
      <c r="BS7" s="97"/>
      <c r="BT7" s="146"/>
      <c r="BU7" s="146"/>
      <c r="BV7" s="146"/>
      <c r="BW7" s="101">
        <f t="shared" si="5"/>
        <v>0</v>
      </c>
      <c r="BX7" s="142"/>
      <c r="BY7" s="142"/>
      <c r="BZ7" s="142"/>
      <c r="CA7" s="97"/>
      <c r="CB7" s="146"/>
      <c r="CC7" s="146"/>
      <c r="CD7" s="147"/>
      <c r="CE7" s="148">
        <f t="shared" si="6"/>
        <v>68205.7</v>
      </c>
      <c r="CF7" s="146"/>
      <c r="CG7" s="146"/>
      <c r="CH7" s="146"/>
      <c r="CI7" s="97"/>
      <c r="CJ7" s="146"/>
      <c r="CK7" s="146"/>
      <c r="CL7" s="146"/>
      <c r="CM7" s="97"/>
      <c r="CN7" s="146"/>
      <c r="CO7" s="146"/>
      <c r="CP7" s="153"/>
      <c r="CQ7" s="154">
        <f t="shared" si="7"/>
        <v>68205.7</v>
      </c>
      <c r="CR7" s="99"/>
      <c r="CS7" s="99"/>
      <c r="CT7" s="100"/>
      <c r="CU7" s="148">
        <f t="shared" si="3"/>
        <v>0</v>
      </c>
      <c r="CV7" s="93"/>
      <c r="CW7" s="106"/>
    </row>
    <row r="8" spans="1:106" ht="19.5" customHeight="1" thickBot="1" x14ac:dyDescent="0.3">
      <c r="A8" s="15" t="s">
        <v>41</v>
      </c>
      <c r="B8" s="10"/>
      <c r="C8" s="17" t="s">
        <v>42</v>
      </c>
      <c r="D8" s="17" t="s">
        <v>42</v>
      </c>
      <c r="E8" s="17" t="s">
        <v>40</v>
      </c>
      <c r="F8" s="17" t="s">
        <v>40</v>
      </c>
      <c r="G8" s="17"/>
      <c r="H8" s="17" t="s">
        <v>42</v>
      </c>
      <c r="I8" s="17" t="s">
        <v>42</v>
      </c>
      <c r="J8" s="17" t="s">
        <v>40</v>
      </c>
      <c r="K8" s="17" t="s">
        <v>42</v>
      </c>
      <c r="L8" s="17" t="s">
        <v>42</v>
      </c>
      <c r="M8" s="17"/>
      <c r="N8" s="17" t="s">
        <v>40</v>
      </c>
      <c r="O8" s="17" t="s">
        <v>42</v>
      </c>
      <c r="P8" s="17"/>
      <c r="Q8" s="17" t="s">
        <v>40</v>
      </c>
      <c r="R8" s="17" t="s">
        <v>40</v>
      </c>
      <c r="S8" s="17" t="s">
        <v>42</v>
      </c>
      <c r="T8" s="17"/>
      <c r="U8" s="17" t="s">
        <v>40</v>
      </c>
      <c r="V8" s="17" t="s">
        <v>42</v>
      </c>
      <c r="W8" s="17" t="s">
        <v>40</v>
      </c>
      <c r="X8" s="17"/>
      <c r="Y8" s="17" t="s">
        <v>40</v>
      </c>
      <c r="Z8" s="17" t="s">
        <v>40</v>
      </c>
      <c r="AA8" s="17" t="s">
        <v>42</v>
      </c>
      <c r="AB8" s="17"/>
      <c r="AC8" s="17"/>
      <c r="AD8" s="17" t="s">
        <v>40</v>
      </c>
      <c r="AE8" s="17"/>
      <c r="AF8" s="17"/>
      <c r="AG8" s="25"/>
      <c r="AH8" s="158">
        <v>3350</v>
      </c>
      <c r="AI8" s="152"/>
      <c r="AJ8" s="152">
        <v>3850</v>
      </c>
      <c r="AK8" s="159"/>
      <c r="AL8" s="18">
        <v>0.01</v>
      </c>
      <c r="AM8" s="19">
        <v>0.05</v>
      </c>
      <c r="AN8" s="20">
        <v>1000</v>
      </c>
      <c r="AO8" s="160">
        <f t="shared" si="0"/>
        <v>15</v>
      </c>
      <c r="AP8" s="146"/>
      <c r="AQ8" s="161">
        <f t="shared" si="1"/>
        <v>6</v>
      </c>
      <c r="AR8" s="146"/>
      <c r="AS8" s="166">
        <f>COUNTIF(C8:AG8, "М")+COUNTIF(C8:AG8, "Ц")+COUNTIF(C8:AG8, "П")+COUNTIF(C8:AG8, "Ох")+COUNTIF(C8:AG8, "Оз")+COUNTIF(C8:AG8, "А")+COUNTIF(C8:AG8, "Р")+(COUNTIF(C8:AG8, "05М")/2)+(COUNTIF(C8:AG8, "05Ц")/2)+(COUNTIF(C8:AG8, "05П")/2)+(COUNTIF(C8:AG8, "05Ох")/2)+(COUNTIF(C8:AG8, "05Оз")/2)+(COUNTIF(C8:AG8, "05А")/2)+(COUNTIF(C8:AG8, "05Р")/2)</f>
        <v>21</v>
      </c>
      <c r="AT8" s="147"/>
      <c r="AU8" s="162">
        <f t="shared" si="4"/>
        <v>73350</v>
      </c>
      <c r="AV8" s="146"/>
      <c r="AW8" s="146"/>
      <c r="AX8" s="147"/>
      <c r="AY8" s="141" cm="1">
        <f t="array" ref="AY8">SUMPRODUCT(
(RIGHT([1]Запрос1!$D$2:$D$43198,4)=RIGHT(A8,4))*
([1]Запрос1!$A$2:$A$43198&gt;=$B$1)*
([1]Запрос1!$A$2:$A$43198&lt;=$B$2)*
[1]Запрос1!$F$2:$F$43198)*AL8</f>
        <v>326.10000000000002</v>
      </c>
      <c r="AZ8" s="142"/>
      <c r="BA8" s="142"/>
      <c r="BB8" s="142"/>
      <c r="BC8" s="101" cm="1">
        <f t="array" ref="BC8">SUMPRODUCT(
  (RIGHT([2]Запрос1!$E$2:$E$2465,4) = RIGHT(A8,4)) *
  ([2]Запрос1!$A$2:$A$2465 &gt;= $B$1) *
  ([2]Запрос1!$A$2:$A$2465 &lt;= $B$2) *
[2]Запрос1!$I$2:$I$2465
)*AM8</f>
        <v>94</v>
      </c>
      <c r="BD8" s="142"/>
      <c r="BE8" s="142"/>
      <c r="BF8" s="142"/>
      <c r="BG8" s="143" cm="1">
        <f t="array" ref="BG8">SUMPRODUCT(
    --(RIGHT([3]Запрос1!$C$2:$C$5232,4) = RIGHT(A8,4)),
    --([3]Запрос1!$E$2:$E$5232 &gt;= $B$1),
    --([3]Запрос1!$E$2:$E$5232 &lt;= $B$2)
)*AN8</f>
        <v>0</v>
      </c>
      <c r="BH8" s="143"/>
      <c r="BI8" s="143"/>
      <c r="BJ8" s="143"/>
      <c r="BK8" s="101" cm="1">
        <f t="array" ref="BK8">SUMPRODUCT(
(RIGHT([4]Запрос1!$E$2:$E$5389,4)=RIGHT(A8,4))*
([4]Запрос1!$A$2:$A$5389&gt;=$B$1)*
([4]Запрос1!$A$2:$A$5389&lt;=$B$2)*
[4]Запрос1!$J$2:$J$5389
)*0.01</f>
        <v>0</v>
      </c>
      <c r="BL8" s="142"/>
      <c r="BM8" s="142"/>
      <c r="BN8" s="142"/>
      <c r="BO8" s="101" cm="1">
        <f t="array" ref="BO8">SUMPRODUCT(
  (RIGHT([5]Запрос1!$E$2:$E$5270,4) = RIGHT(A8,4)) *
  ([5]Запрос1!$A$2:$A$5270 &gt;= $B$1) *
  ([5]Запрос1!$A$2:$A$5270 &lt;= $B$2) *
[5]Запрос1!$I$2:$I$5270
)*0.25</f>
        <v>0</v>
      </c>
      <c r="BP8" s="142"/>
      <c r="BQ8" s="142"/>
      <c r="BR8" s="142"/>
      <c r="BS8" s="97"/>
      <c r="BT8" s="146"/>
      <c r="BU8" s="146"/>
      <c r="BV8" s="146"/>
      <c r="BW8" s="101">
        <f t="shared" si="5"/>
        <v>0</v>
      </c>
      <c r="BX8" s="142"/>
      <c r="BY8" s="142"/>
      <c r="BZ8" s="142"/>
      <c r="CA8" s="97"/>
      <c r="CB8" s="146"/>
      <c r="CC8" s="146"/>
      <c r="CD8" s="147"/>
      <c r="CE8" s="148">
        <f t="shared" si="6"/>
        <v>73770.100000000006</v>
      </c>
      <c r="CF8" s="146"/>
      <c r="CG8" s="146"/>
      <c r="CH8" s="146"/>
      <c r="CI8" s="97">
        <v>150</v>
      </c>
      <c r="CJ8" s="146"/>
      <c r="CK8" s="146"/>
      <c r="CL8" s="146"/>
      <c r="CM8" s="152"/>
      <c r="CN8" s="146"/>
      <c r="CO8" s="146"/>
      <c r="CP8" s="153"/>
      <c r="CQ8" s="154">
        <f t="shared" si="7"/>
        <v>73620.100000000006</v>
      </c>
      <c r="CR8" s="99"/>
      <c r="CS8" s="99"/>
      <c r="CT8" s="100"/>
      <c r="CU8" s="165">
        <f t="shared" si="3"/>
        <v>3000</v>
      </c>
      <c r="CV8" s="93"/>
      <c r="CW8" s="106"/>
    </row>
    <row r="9" spans="1:106" ht="20.100000000000001" customHeight="1" thickBot="1" x14ac:dyDescent="0.3">
      <c r="A9" s="15" t="s">
        <v>43</v>
      </c>
      <c r="B9" s="10"/>
      <c r="C9" s="17"/>
      <c r="D9" s="17"/>
      <c r="E9" s="17" t="s">
        <v>44</v>
      </c>
      <c r="F9" s="17" t="s">
        <v>44</v>
      </c>
      <c r="G9" s="17"/>
      <c r="H9" s="17"/>
      <c r="I9" s="17" t="s">
        <v>44</v>
      </c>
      <c r="J9" s="17" t="s">
        <v>44</v>
      </c>
      <c r="K9" s="17"/>
      <c r="L9" s="17"/>
      <c r="M9" s="17" t="s">
        <v>44</v>
      </c>
      <c r="N9" s="17" t="s">
        <v>44</v>
      </c>
      <c r="O9" s="17"/>
      <c r="P9" s="17"/>
      <c r="Q9" s="17" t="s">
        <v>44</v>
      </c>
      <c r="R9" s="17" t="s">
        <v>44</v>
      </c>
      <c r="S9" s="17"/>
      <c r="T9" s="17"/>
      <c r="U9" s="17" t="s">
        <v>44</v>
      </c>
      <c r="V9" s="17" t="s">
        <v>44</v>
      </c>
      <c r="W9" s="17"/>
      <c r="X9" s="17"/>
      <c r="Y9" s="17" t="s">
        <v>44</v>
      </c>
      <c r="Z9" s="17" t="s">
        <v>44</v>
      </c>
      <c r="AA9" s="17"/>
      <c r="AB9" s="17"/>
      <c r="AC9" s="17" t="s">
        <v>44</v>
      </c>
      <c r="AD9" s="17" t="s">
        <v>44</v>
      </c>
      <c r="AE9" s="17"/>
      <c r="AF9" s="17"/>
      <c r="AG9" s="25"/>
      <c r="AH9" s="131">
        <v>3350</v>
      </c>
      <c r="AI9" s="97"/>
      <c r="AJ9" s="97">
        <v>3850</v>
      </c>
      <c r="AK9" s="132"/>
      <c r="AL9" s="21">
        <v>0.01</v>
      </c>
      <c r="AM9" s="22">
        <v>0.05</v>
      </c>
      <c r="AN9" s="23">
        <v>1000</v>
      </c>
      <c r="AO9" s="163">
        <f t="shared" si="0"/>
        <v>14</v>
      </c>
      <c r="AP9" s="146"/>
      <c r="AQ9" s="164">
        <f t="shared" si="1"/>
        <v>0</v>
      </c>
      <c r="AR9" s="146"/>
      <c r="AS9" s="167">
        <f t="shared" ref="AS9:AS10" si="8">COUNTIF(C9:AG9, "М")+COUNTIF(C9:AG9, "Ц")+COUNTIF(C9:AG9, "П")+COUNTIF(C9:AG9, "Ох")+COUNTIF(C9:AG9, "Оз")+COUNTIF(C9:AG9, "А")+COUNTIF(C9:AG9, "Р")+(COUNTIF(C9:AG9, "05М")/2)+(COUNTIF(C9:AG9, "05Ц")/2)+(COUNTIF(C9:AG9, "05П")/2)+(COUNTIF(C9:AG9, "05Ох")/2)+(COUNTIF(C9:AG9, "05Оз")/2)+(COUNTIF(C9:AG9, "05А")/2)+(COUNTIF(C9:AG9, "05Р")/2)</f>
        <v>14</v>
      </c>
      <c r="AT9" s="147"/>
      <c r="AU9" s="162">
        <f t="shared" si="4"/>
        <v>46900</v>
      </c>
      <c r="AV9" s="146"/>
      <c r="AW9" s="146"/>
      <c r="AX9" s="147"/>
      <c r="AY9" s="141" cm="1">
        <f t="array" ref="AY9">SUMPRODUCT(
(RIGHT([1]Запрос1!$D$2:$D$43198,4)=RIGHT(A9,4))*
([1]Запрос1!$A$2:$A$43198&gt;=$B$1)*
([1]Запрос1!$A$2:$A$43198&lt;=$B$2)*
[1]Запрос1!$F$2:$F$43198)*AL9</f>
        <v>0</v>
      </c>
      <c r="AZ9" s="142"/>
      <c r="BA9" s="142"/>
      <c r="BB9" s="142"/>
      <c r="BC9" s="101" cm="1">
        <f t="array" ref="BC9">SUMPRODUCT(
  (RIGHT([2]Запрос1!$E$2:$E$2465,4) = RIGHT(A9,4)) *
  ([2]Запрос1!$A$2:$A$2465 &gt;= $B$1) *
  ([2]Запрос1!$A$2:$A$2465 &lt;= $B$2) *
[2]Запрос1!$I$2:$I$2465
)*AM9</f>
        <v>0</v>
      </c>
      <c r="BD9" s="142"/>
      <c r="BE9" s="142"/>
      <c r="BF9" s="142"/>
      <c r="BG9" s="143" cm="1">
        <f t="array" ref="BG9">SUMPRODUCT(
    --(RIGHT([3]Запрос1!$C$2:$C$5232,4) = RIGHT(A9,4)),
    --([3]Запрос1!$E$2:$E$5232 &gt;= $B$1),
    --([3]Запрос1!$E$2:$E$5232 &lt;= $B$2)
)*AN9</f>
        <v>0</v>
      </c>
      <c r="BH9" s="143"/>
      <c r="BI9" s="143"/>
      <c r="BJ9" s="143"/>
      <c r="BK9" s="101" cm="1">
        <f t="array" ref="BK9">SUMPRODUCT(
(RIGHT([4]Запрос1!$E$2:$E$5389,4)=RIGHT(A9,4))*
([4]Запрос1!$A$2:$A$5389&gt;=$B$1)*
([4]Запрос1!$A$2:$A$5389&lt;=$B$2)*
[4]Запрос1!$J$2:$J$5389
)*0.01</f>
        <v>0</v>
      </c>
      <c r="BL9" s="142"/>
      <c r="BM9" s="142"/>
      <c r="BN9" s="142"/>
      <c r="BO9" s="101" cm="1">
        <f t="array" ref="BO9">SUMPRODUCT(
  (RIGHT([5]Запрос1!$E$2:$E$5270,4) = RIGHT(A9,4)) *
  ([5]Запрос1!$A$2:$A$5270 &gt;= $B$1) *
  ([5]Запрос1!$A$2:$A$5270 &lt;= $B$2) *
[5]Запрос1!$I$2:$I$5270
)*0.25</f>
        <v>0</v>
      </c>
      <c r="BP9" s="142"/>
      <c r="BQ9" s="142"/>
      <c r="BR9" s="142"/>
      <c r="BS9" s="97"/>
      <c r="BT9" s="146"/>
      <c r="BU9" s="146"/>
      <c r="BV9" s="146"/>
      <c r="BW9" s="101">
        <f t="shared" si="5"/>
        <v>0</v>
      </c>
      <c r="BX9" s="142"/>
      <c r="BY9" s="142"/>
      <c r="BZ9" s="142"/>
      <c r="CA9" s="97"/>
      <c r="CB9" s="146"/>
      <c r="CC9" s="146"/>
      <c r="CD9" s="147"/>
      <c r="CE9" s="148">
        <f t="shared" si="6"/>
        <v>46900</v>
      </c>
      <c r="CF9" s="146"/>
      <c r="CG9" s="146"/>
      <c r="CH9" s="146"/>
      <c r="CI9" s="97"/>
      <c r="CJ9" s="146"/>
      <c r="CK9" s="146"/>
      <c r="CL9" s="146"/>
      <c r="CM9" s="97"/>
      <c r="CN9" s="146"/>
      <c r="CO9" s="146"/>
      <c r="CP9" s="153"/>
      <c r="CQ9" s="154">
        <f t="shared" si="7"/>
        <v>46900</v>
      </c>
      <c r="CR9" s="99"/>
      <c r="CS9" s="99"/>
      <c r="CT9" s="100"/>
      <c r="CU9" s="148">
        <f t="shared" si="3"/>
        <v>0</v>
      </c>
      <c r="CV9" s="93"/>
      <c r="CW9" s="106"/>
    </row>
    <row r="10" spans="1:106" ht="19.5" customHeight="1" thickBot="1" x14ac:dyDescent="0.3">
      <c r="A10" s="26" t="s">
        <v>52</v>
      </c>
      <c r="B10" s="10"/>
      <c r="C10" s="17" t="s">
        <v>44</v>
      </c>
      <c r="D10" s="17" t="s">
        <v>44</v>
      </c>
      <c r="E10" s="17"/>
      <c r="F10" s="17"/>
      <c r="G10" s="17" t="s">
        <v>44</v>
      </c>
      <c r="H10" s="17" t="s">
        <v>44</v>
      </c>
      <c r="I10" s="17"/>
      <c r="J10" s="17"/>
      <c r="K10" s="17" t="s">
        <v>44</v>
      </c>
      <c r="L10" s="17" t="s">
        <v>44</v>
      </c>
      <c r="M10" s="17"/>
      <c r="N10" s="17"/>
      <c r="O10" s="17" t="s">
        <v>44</v>
      </c>
      <c r="P10" s="17" t="s">
        <v>44</v>
      </c>
      <c r="Q10" s="17"/>
      <c r="R10" s="17"/>
      <c r="S10" s="17" t="s">
        <v>44</v>
      </c>
      <c r="T10" s="17" t="s">
        <v>44</v>
      </c>
      <c r="U10" s="17"/>
      <c r="V10" s="17"/>
      <c r="W10" s="17" t="s">
        <v>44</v>
      </c>
      <c r="X10" s="17" t="s">
        <v>44</v>
      </c>
      <c r="Y10" s="17"/>
      <c r="Z10" s="17"/>
      <c r="AA10" s="17" t="s">
        <v>44</v>
      </c>
      <c r="AB10" s="17" t="s">
        <v>44</v>
      </c>
      <c r="AC10" s="17"/>
      <c r="AD10" s="17"/>
      <c r="AE10" s="17"/>
      <c r="AF10" s="17"/>
      <c r="AG10" s="25"/>
      <c r="AH10" s="158">
        <v>3350</v>
      </c>
      <c r="AI10" s="152"/>
      <c r="AJ10" s="152">
        <v>3850</v>
      </c>
      <c r="AK10" s="159"/>
      <c r="AL10" s="18">
        <v>0.02</v>
      </c>
      <c r="AM10" s="19">
        <v>0.08</v>
      </c>
      <c r="AN10" s="20">
        <v>1000</v>
      </c>
      <c r="AO10" s="160">
        <f t="shared" si="0"/>
        <v>14</v>
      </c>
      <c r="AP10" s="146"/>
      <c r="AQ10" s="161">
        <f t="shared" si="1"/>
        <v>0</v>
      </c>
      <c r="AR10" s="146"/>
      <c r="AS10" s="166">
        <f t="shared" si="8"/>
        <v>14</v>
      </c>
      <c r="AT10" s="147"/>
      <c r="AU10" s="162">
        <f t="shared" si="4"/>
        <v>46900</v>
      </c>
      <c r="AV10" s="146"/>
      <c r="AW10" s="146"/>
      <c r="AX10" s="147"/>
      <c r="AY10" s="141" cm="1">
        <f t="array" ref="AY10">SUMPRODUCT(
(RIGHT([1]Запрос1!$D$2:$D$43198,4)=RIGHT(A10,4))*
([1]Запрос1!$A$2:$A$43198&gt;=$B$1)*
([1]Запрос1!$A$2:$A$43198&lt;=$B$2)*
[1]Запрос1!$F$2:$F$43198)*AL10</f>
        <v>221.20000000000002</v>
      </c>
      <c r="AZ10" s="142"/>
      <c r="BA10" s="142"/>
      <c r="BB10" s="142"/>
      <c r="BC10" s="101" cm="1">
        <f t="array" ref="BC10">SUMPRODUCT(
  (RIGHT([2]Запрос1!$E$2:$E$2465,4) = RIGHT(A10,4)) *
  ([2]Запрос1!$A$2:$A$2465 &gt;= $B$1) *
  ([2]Запрос1!$A$2:$A$2465 &lt;= $B$2) *
[2]Запрос1!$I$2:$I$2465
)*AM10</f>
        <v>41.6</v>
      </c>
      <c r="BD10" s="142"/>
      <c r="BE10" s="142"/>
      <c r="BF10" s="142"/>
      <c r="BG10" s="143" cm="1">
        <f t="array" ref="BG10">SUMPRODUCT(
    --(RIGHT([3]Запрос1!$C$2:$C$5232,4) = RIGHT(A10,4)),
    --([3]Запрос1!$E$2:$E$5232 &gt;= $B$1),
    --([3]Запрос1!$E$2:$E$5232 &lt;= $B$2)
)*AN10</f>
        <v>0</v>
      </c>
      <c r="BH10" s="143"/>
      <c r="BI10" s="143"/>
      <c r="BJ10" s="143"/>
      <c r="BK10" s="101" cm="1">
        <f t="array" ref="BK10">SUMPRODUCT(
(RIGHT([4]Запрос1!$E$2:$E$5389,4)=RIGHT(A10,4))*
([4]Запрос1!$A$2:$A$5389&gt;=$B$1)*
([4]Запрос1!$A$2:$A$5389&lt;=$B$2)*
[4]Запрос1!$J$2:$J$5389
)*0.01</f>
        <v>0</v>
      </c>
      <c r="BL10" s="142"/>
      <c r="BM10" s="142"/>
      <c r="BN10" s="142"/>
      <c r="BO10" s="101" cm="1">
        <f t="array" ref="BO10">SUMPRODUCT(
  (RIGHT([5]Запрос1!$E$2:$E$5270,4) = RIGHT(A10,4)) *
  ([5]Запрос1!$A$2:$A$5270 &gt;= $B$1) *
  ([5]Запрос1!$A$2:$A$5270 &lt;= $B$2) *
[5]Запрос1!$I$2:$I$5270
)*0.25</f>
        <v>0</v>
      </c>
      <c r="BP10" s="142"/>
      <c r="BQ10" s="142"/>
      <c r="BR10" s="142"/>
      <c r="BS10" s="97"/>
      <c r="BT10" s="146"/>
      <c r="BU10" s="146"/>
      <c r="BV10" s="146"/>
      <c r="BW10" s="101">
        <f t="shared" si="5"/>
        <v>0</v>
      </c>
      <c r="BX10" s="142"/>
      <c r="BY10" s="142"/>
      <c r="BZ10" s="142"/>
      <c r="CA10" s="97"/>
      <c r="CB10" s="146"/>
      <c r="CC10" s="146"/>
      <c r="CD10" s="147"/>
      <c r="CE10" s="148">
        <f t="shared" si="6"/>
        <v>47162.799999999996</v>
      </c>
      <c r="CF10" s="146"/>
      <c r="CG10" s="146"/>
      <c r="CH10" s="146"/>
      <c r="CI10" s="97"/>
      <c r="CJ10" s="146"/>
      <c r="CK10" s="146"/>
      <c r="CL10" s="146"/>
      <c r="CM10" s="152"/>
      <c r="CN10" s="146"/>
      <c r="CO10" s="146"/>
      <c r="CP10" s="153"/>
      <c r="CQ10" s="154">
        <f t="shared" si="7"/>
        <v>47162.8</v>
      </c>
      <c r="CR10" s="99"/>
      <c r="CS10" s="99"/>
      <c r="CT10" s="100"/>
      <c r="CU10" s="165">
        <f t="shared" si="3"/>
        <v>0</v>
      </c>
      <c r="CV10" s="93"/>
      <c r="CW10" s="106"/>
    </row>
    <row r="11" spans="1:106" ht="20.100000000000001" customHeight="1" thickBot="1" x14ac:dyDescent="0.3">
      <c r="A11" s="15" t="s">
        <v>45</v>
      </c>
      <c r="B11" s="10"/>
      <c r="C11" s="17"/>
      <c r="D11" s="17"/>
      <c r="E11" s="17" t="s">
        <v>42</v>
      </c>
      <c r="F11" s="17" t="s">
        <v>42</v>
      </c>
      <c r="G11" s="17" t="s">
        <v>42</v>
      </c>
      <c r="H11" s="17"/>
      <c r="I11" s="17"/>
      <c r="J11" s="17" t="s">
        <v>42</v>
      </c>
      <c r="K11" s="17"/>
      <c r="L11" s="17"/>
      <c r="M11" s="17" t="s">
        <v>42</v>
      </c>
      <c r="N11" s="17" t="s">
        <v>42</v>
      </c>
      <c r="O11" s="17"/>
      <c r="P11" s="17" t="s">
        <v>42</v>
      </c>
      <c r="Q11" s="17" t="s">
        <v>42</v>
      </c>
      <c r="R11" s="17"/>
      <c r="S11" s="17"/>
      <c r="T11" s="17" t="s">
        <v>42</v>
      </c>
      <c r="U11" s="17" t="s">
        <v>42</v>
      </c>
      <c r="V11" s="17"/>
      <c r="W11" s="17" t="s">
        <v>42</v>
      </c>
      <c r="X11" s="17" t="s">
        <v>42</v>
      </c>
      <c r="Y11" s="17"/>
      <c r="Z11" s="17" t="s">
        <v>42</v>
      </c>
      <c r="AA11" s="17"/>
      <c r="AB11" s="17" t="s">
        <v>42</v>
      </c>
      <c r="AC11" s="17" t="s">
        <v>42</v>
      </c>
      <c r="AD11" s="17" t="s">
        <v>42</v>
      </c>
      <c r="AE11" s="17"/>
      <c r="AF11" s="17"/>
      <c r="AG11" s="17"/>
      <c r="AH11" s="131">
        <v>3000</v>
      </c>
      <c r="AI11" s="97"/>
      <c r="AJ11" s="97">
        <v>3500</v>
      </c>
      <c r="AK11" s="132"/>
      <c r="AL11" s="21">
        <v>0.01</v>
      </c>
      <c r="AM11" s="22">
        <v>0.05</v>
      </c>
      <c r="AN11" s="23">
        <v>300</v>
      </c>
      <c r="AO11" s="163">
        <f t="shared" si="0"/>
        <v>15</v>
      </c>
      <c r="AP11" s="146"/>
      <c r="AQ11" s="164">
        <f t="shared" si="1"/>
        <v>1</v>
      </c>
      <c r="AR11" s="146"/>
      <c r="AS11" s="167">
        <f>COUNTIF(C11:AG11, "М")+COUNTIF(C11:AG11, "Ц")+COUNTIF(C11:AG11, "П")+COUNTIF(C11:AG11, "Ох")+COUNTIF(C11:AG11, "Оз")+COUNTIF(C11:AG11, "А")+COUNTIF(C11:AG11, "Р")+(COUNTIF(C11:AG11, "05М")/2)+(COUNTIF(C11:AG11, "05Ц")/2)+(COUNTIF(C11:AG11, "05П")/2)+(COUNTIF(C11:AG11, "05Ох")/2)+(COUNTIF(C11:AG11, "05Оз")/2)+(COUNTIF(C11:AG11, "05А")/2)+(COUNTIF(C11:AG11, "05Р")/2)</f>
        <v>16</v>
      </c>
      <c r="AT11" s="147"/>
      <c r="AU11" s="162">
        <f t="shared" si="4"/>
        <v>48500</v>
      </c>
      <c r="AV11" s="146"/>
      <c r="AW11" s="146"/>
      <c r="AX11" s="147"/>
      <c r="AY11" s="141" cm="1">
        <f t="array" ref="AY11">SUMPRODUCT(
(RIGHT([1]Запрос1!$D$2:$D$43198,4)=RIGHT(A11,4))*
([1]Запрос1!$A$2:$A$43198&gt;=$B$1)*
([1]Запрос1!$A$2:$A$43198&lt;=$B$2)*
[1]Запрос1!$F$2:$F$43198)*AL11</f>
        <v>0</v>
      </c>
      <c r="AZ11" s="142"/>
      <c r="BA11" s="142"/>
      <c r="BB11" s="142"/>
      <c r="BC11" s="101" cm="1">
        <f t="array" ref="BC11">SUMPRODUCT(
  (RIGHT([2]Запрос1!$E$2:$E$2465,4) = RIGHT(A11,4)) *
  ([2]Запрос1!$A$2:$A$2465 &gt;= $B$1) *
  ([2]Запрос1!$A$2:$A$2465 &lt;= $B$2) *
[2]Запрос1!$I$2:$I$2465
)*AM11</f>
        <v>0</v>
      </c>
      <c r="BD11" s="142"/>
      <c r="BE11" s="142"/>
      <c r="BF11" s="142"/>
      <c r="BG11" s="143" cm="1">
        <f t="array" ref="BG11">SUMPRODUCT(
    --(RIGHT([3]Запрос1!$C$2:$C$5232,4) = RIGHT(A11,4)),
    --([3]Запрос1!$E$2:$E$5232 &gt;= $B$1),
    --([3]Запрос1!$E$2:$E$5232 &lt;= $B$2)
)*AN11</f>
        <v>900</v>
      </c>
      <c r="BH11" s="143"/>
      <c r="BI11" s="143"/>
      <c r="BJ11" s="143"/>
      <c r="BK11" s="101" cm="1">
        <f t="array" ref="BK11">SUMPRODUCT(
(RIGHT([4]Запрос1!$E$2:$E$5389,4)=RIGHT(A11,4))*
([4]Запрос1!$A$2:$A$5389&gt;=$B$1)*
([4]Запрос1!$A$2:$A$5389&lt;=$B$2)*
[4]Запрос1!$J$2:$J$5389
)*0.01</f>
        <v>0</v>
      </c>
      <c r="BL11" s="142"/>
      <c r="BM11" s="142"/>
      <c r="BN11" s="142"/>
      <c r="BO11" s="101" cm="1">
        <f t="array" ref="BO11">SUMPRODUCT(
  (RIGHT([5]Запрос1!$E$2:$E$5270,4) = RIGHT(A11,4)) *
  ([5]Запрос1!$A$2:$A$5270 &gt;= $B$1) *
  ([5]Запрос1!$A$2:$A$5270 &lt;= $B$2) *
[5]Запрос1!$I$2:$I$5270
)*0.25</f>
        <v>0</v>
      </c>
      <c r="BP11" s="142"/>
      <c r="BQ11" s="142"/>
      <c r="BR11" s="142"/>
      <c r="BS11" s="97"/>
      <c r="BT11" s="146"/>
      <c r="BU11" s="146"/>
      <c r="BV11" s="146"/>
      <c r="BW11" s="101">
        <f t="shared" si="5"/>
        <v>0</v>
      </c>
      <c r="BX11" s="142"/>
      <c r="BY11" s="142"/>
      <c r="BZ11" s="142"/>
      <c r="CA11" s="97"/>
      <c r="CB11" s="146"/>
      <c r="CC11" s="146"/>
      <c r="CD11" s="147"/>
      <c r="CE11" s="148">
        <f t="shared" si="6"/>
        <v>49400</v>
      </c>
      <c r="CF11" s="146"/>
      <c r="CG11" s="146"/>
      <c r="CH11" s="146"/>
      <c r="CI11" s="97"/>
      <c r="CJ11" s="146"/>
      <c r="CK11" s="146"/>
      <c r="CL11" s="146"/>
      <c r="CM11" s="97"/>
      <c r="CN11" s="146"/>
      <c r="CO11" s="146"/>
      <c r="CP11" s="153"/>
      <c r="CQ11" s="154">
        <f t="shared" si="7"/>
        <v>49400</v>
      </c>
      <c r="CR11" s="99"/>
      <c r="CS11" s="99"/>
      <c r="CT11" s="100"/>
      <c r="CU11" s="148">
        <f t="shared" si="3"/>
        <v>500</v>
      </c>
      <c r="CV11" s="93"/>
      <c r="CW11" s="106"/>
    </row>
    <row r="12" spans="1:106" ht="20.100000000000001" customHeight="1" thickBot="1" x14ac:dyDescent="0.3">
      <c r="A12" s="15" t="s">
        <v>48</v>
      </c>
      <c r="B12" s="10"/>
      <c r="C12" s="17" t="s">
        <v>49</v>
      </c>
      <c r="D12" s="17" t="s">
        <v>49</v>
      </c>
      <c r="E12" s="17"/>
      <c r="F12" s="17"/>
      <c r="G12" s="17" t="s">
        <v>49</v>
      </c>
      <c r="H12" s="17" t="s">
        <v>49</v>
      </c>
      <c r="I12" s="17"/>
      <c r="J12" s="17"/>
      <c r="K12" s="17" t="s">
        <v>49</v>
      </c>
      <c r="L12" s="17" t="s">
        <v>49</v>
      </c>
      <c r="M12" s="17"/>
      <c r="N12" s="17"/>
      <c r="O12" s="17" t="s">
        <v>49</v>
      </c>
      <c r="P12" s="17" t="s">
        <v>49</v>
      </c>
      <c r="Q12" s="17"/>
      <c r="R12" s="17"/>
      <c r="S12" s="17" t="s">
        <v>49</v>
      </c>
      <c r="T12" s="17" t="s">
        <v>49</v>
      </c>
      <c r="U12" s="17"/>
      <c r="V12" s="17"/>
      <c r="W12" s="17" t="s">
        <v>49</v>
      </c>
      <c r="X12" s="17" t="s">
        <v>49</v>
      </c>
      <c r="Y12" s="17"/>
      <c r="Z12" s="17"/>
      <c r="AA12" s="17" t="s">
        <v>49</v>
      </c>
      <c r="AB12" s="17" t="s">
        <v>49</v>
      </c>
      <c r="AC12" s="17"/>
      <c r="AD12" s="17"/>
      <c r="AE12" s="17"/>
      <c r="AF12" s="17"/>
      <c r="AG12" s="25"/>
      <c r="AH12" s="158">
        <v>3350</v>
      </c>
      <c r="AI12" s="152"/>
      <c r="AJ12" s="152">
        <v>3850</v>
      </c>
      <c r="AK12" s="159"/>
      <c r="AL12" s="18">
        <v>0.02</v>
      </c>
      <c r="AM12" s="19">
        <v>0.08</v>
      </c>
      <c r="AN12" s="20">
        <v>1000</v>
      </c>
      <c r="AO12" s="160">
        <f t="shared" si="0"/>
        <v>14</v>
      </c>
      <c r="AP12" s="146"/>
      <c r="AQ12" s="161">
        <f t="shared" si="1"/>
        <v>0</v>
      </c>
      <c r="AR12" s="146"/>
      <c r="AS12" s="166">
        <f>COUNTIF(C12:AG12, "М")+COUNTIF(C12:AG12, "Ц")+COUNTIF(C12:AG12, "П")+COUNTIF(C12:AG12, "Ох")+COUNTIF(C12:AG12, "Оз")+COUNTIF(C12:AG12, "А")+COUNTIF(C12:AG12, "Р")+(COUNTIF(C12:AG12, "05М")/2)+(COUNTIF(C12:AG12, "05Ц")/2)+(COUNTIF(C12:AG12, "05П")/2)+(COUNTIF(C12:AG12, "05Ох")/2)+(COUNTIF(C12:AG12, "05Оз")/2)+(COUNTIF(C12:AG12, "05А")/2)+(COUNTIF(C12:AG12, "05Р")/2)</f>
        <v>14</v>
      </c>
      <c r="AT12" s="147"/>
      <c r="AU12" s="162">
        <f t="shared" si="4"/>
        <v>46900</v>
      </c>
      <c r="AV12" s="146"/>
      <c r="AW12" s="146"/>
      <c r="AX12" s="147"/>
      <c r="AY12" s="141" cm="1">
        <f t="array" ref="AY12">SUMPRODUCT(
(RIGHT([1]Запрос1!$D$2:$D$43198,4)=RIGHT(A12,4))*
([1]Запрос1!$A$2:$A$43198&gt;=$B$1)*
([1]Запрос1!$A$2:$A$43198&lt;=$B$2)*
[1]Запрос1!$F$2:$F$43198)*AL12</f>
        <v>69.960000000000008</v>
      </c>
      <c r="AZ12" s="142"/>
      <c r="BA12" s="142"/>
      <c r="BB12" s="142"/>
      <c r="BC12" s="101" cm="1">
        <f t="array" ref="BC12">SUMPRODUCT(
  (RIGHT([2]Запрос1!$E$2:$E$2465,4) = RIGHT(A12,4)) *
  ([2]Запрос1!$A$2:$A$2465 &gt;= $B$1) *
  ([2]Запрос1!$A$2:$A$2465 &lt;= $B$2) *
[2]Запрос1!$I$2:$I$2465
)*AM12</f>
        <v>0</v>
      </c>
      <c r="BD12" s="142"/>
      <c r="BE12" s="142"/>
      <c r="BF12" s="142"/>
      <c r="BG12" s="143" cm="1">
        <f t="array" ref="BG12">SUMPRODUCT(
    --(RIGHT([3]Запрос1!$C$2:$C$5232,4) = RIGHT(A12,4)),
    --([3]Запрос1!$E$2:$E$5232 &gt;= $B$1),
    --([3]Запрос1!$E$2:$E$5232 &lt;= $B$2)
)*AN12</f>
        <v>0</v>
      </c>
      <c r="BH12" s="143"/>
      <c r="BI12" s="143"/>
      <c r="BJ12" s="143"/>
      <c r="BK12" s="101" cm="1">
        <f t="array" ref="BK12">SUMPRODUCT(
(RIGHT([4]Запрос1!$E$2:$E$5389,4)=RIGHT(A12,4))*
([4]Запрос1!$A$2:$A$5389&gt;=$B$1)*
([4]Запрос1!$A$2:$A$5389&lt;=$B$2)*
[4]Запрос1!$J$2:$J$5389
)*0.01</f>
        <v>0</v>
      </c>
      <c r="BL12" s="142"/>
      <c r="BM12" s="142"/>
      <c r="BN12" s="142"/>
      <c r="BO12" s="101" cm="1">
        <f t="array" ref="BO12">SUMPRODUCT(
  (RIGHT([5]Запрос1!$E$2:$E$5270,4) = RIGHT(A12,4)) *
  ([5]Запрос1!$A$2:$A$5270 &gt;= $B$1) *
  ([5]Запрос1!$A$2:$A$5270 &lt;= $B$2) *
[5]Запрос1!$I$2:$I$5270
)*0.25</f>
        <v>0</v>
      </c>
      <c r="BP12" s="142"/>
      <c r="BQ12" s="142"/>
      <c r="BR12" s="142"/>
      <c r="BS12" s="97"/>
      <c r="BT12" s="146"/>
      <c r="BU12" s="146"/>
      <c r="BV12" s="146"/>
      <c r="BW12" s="101">
        <f t="shared" si="5"/>
        <v>0</v>
      </c>
      <c r="BX12" s="142"/>
      <c r="BY12" s="142"/>
      <c r="BZ12" s="142"/>
      <c r="CA12" s="97"/>
      <c r="CB12" s="146"/>
      <c r="CC12" s="146"/>
      <c r="CD12" s="147"/>
      <c r="CE12" s="148">
        <f t="shared" si="6"/>
        <v>46969.96</v>
      </c>
      <c r="CF12" s="146"/>
      <c r="CG12" s="146"/>
      <c r="CH12" s="146"/>
      <c r="CI12" s="97"/>
      <c r="CJ12" s="146"/>
      <c r="CK12" s="146"/>
      <c r="CL12" s="146"/>
      <c r="CM12" s="152"/>
      <c r="CN12" s="146"/>
      <c r="CO12" s="146"/>
      <c r="CP12" s="153"/>
      <c r="CQ12" s="154">
        <f t="shared" si="7"/>
        <v>46969.96</v>
      </c>
      <c r="CR12" s="99"/>
      <c r="CS12" s="99"/>
      <c r="CT12" s="100"/>
      <c r="CU12" s="165">
        <f t="shared" si="3"/>
        <v>0</v>
      </c>
      <c r="CV12" s="93"/>
      <c r="CW12" s="106"/>
    </row>
    <row r="13" spans="1:106" ht="20.100000000000001" customHeight="1" thickBot="1" x14ac:dyDescent="0.3">
      <c r="A13" s="15" t="s">
        <v>50</v>
      </c>
      <c r="B13" s="10"/>
      <c r="C13" s="17"/>
      <c r="D13" s="17"/>
      <c r="E13" s="17" t="s">
        <v>49</v>
      </c>
      <c r="F13" s="17" t="s">
        <v>49</v>
      </c>
      <c r="G13" s="17"/>
      <c r="H13" s="17"/>
      <c r="I13" s="17" t="s">
        <v>49</v>
      </c>
      <c r="J13" s="17" t="s">
        <v>49</v>
      </c>
      <c r="K13" s="17"/>
      <c r="L13" s="17"/>
      <c r="M13" s="17" t="s">
        <v>49</v>
      </c>
      <c r="N13" s="17" t="s">
        <v>49</v>
      </c>
      <c r="O13" s="17"/>
      <c r="P13" s="17"/>
      <c r="Q13" s="17" t="s">
        <v>49</v>
      </c>
      <c r="R13" s="17" t="s">
        <v>49</v>
      </c>
      <c r="S13" s="17"/>
      <c r="T13" s="17"/>
      <c r="U13" s="17" t="s">
        <v>49</v>
      </c>
      <c r="V13" s="17" t="s">
        <v>49</v>
      </c>
      <c r="W13" s="17"/>
      <c r="X13" s="17"/>
      <c r="Y13" s="17" t="s">
        <v>49</v>
      </c>
      <c r="Z13" s="17" t="s">
        <v>49</v>
      </c>
      <c r="AA13" s="17"/>
      <c r="AB13" s="17"/>
      <c r="AC13" s="17" t="s">
        <v>49</v>
      </c>
      <c r="AD13" s="17" t="s">
        <v>49</v>
      </c>
      <c r="AE13" s="17"/>
      <c r="AF13" s="17"/>
      <c r="AG13" s="25"/>
      <c r="AH13" s="131">
        <v>3350</v>
      </c>
      <c r="AI13" s="97"/>
      <c r="AJ13" s="97">
        <v>3850</v>
      </c>
      <c r="AK13" s="132"/>
      <c r="AL13" s="21">
        <v>0.02</v>
      </c>
      <c r="AM13" s="22">
        <v>0.08</v>
      </c>
      <c r="AN13" s="23">
        <v>1000</v>
      </c>
      <c r="AO13" s="163">
        <f t="shared" si="0"/>
        <v>14</v>
      </c>
      <c r="AP13" s="146"/>
      <c r="AQ13" s="164">
        <f t="shared" si="1"/>
        <v>0</v>
      </c>
      <c r="AR13" s="146"/>
      <c r="AS13" s="167">
        <f t="shared" ref="AS13:AS17" si="9">COUNTIF(C13:AG13, "М")+COUNTIF(C13:AG13, "Ц")+COUNTIF(C13:AG13, "П")+COUNTIF(C13:AG13, "Ох")+COUNTIF(C13:AG13, "Оз")+COUNTIF(C13:AG13, "А")+COUNTIF(C13:AG13, "Р")+(COUNTIF(C13:AG13, "05М")/2)+(COUNTIF(C13:AG13, "05Ц")/2)+(COUNTIF(C13:AG13, "05П")/2)+(COUNTIF(C13:AG13, "05Ох")/2)+(COUNTIF(C13:AG13, "05Оз")/2)+(COUNTIF(C13:AG13, "05А")/2)+(COUNTIF(C13:AG13, "05Р")/2)</f>
        <v>14</v>
      </c>
      <c r="AT13" s="147"/>
      <c r="AU13" s="162">
        <f t="shared" si="4"/>
        <v>46900</v>
      </c>
      <c r="AV13" s="146"/>
      <c r="AW13" s="146"/>
      <c r="AX13" s="147"/>
      <c r="AY13" s="141" cm="1">
        <f t="array" ref="AY13">SUMPRODUCT(
(RIGHT([1]Запрос1!$D$2:$D$43198,4)=RIGHT(A13,4))*
([1]Запрос1!$A$2:$A$43198&gt;=$B$1)*
([1]Запрос1!$A$2:$A$43198&lt;=$B$2)*
[1]Запрос1!$F$2:$F$43198)*AL13</f>
        <v>0</v>
      </c>
      <c r="AZ13" s="142"/>
      <c r="BA13" s="142"/>
      <c r="BB13" s="142"/>
      <c r="BC13" s="101" cm="1">
        <f t="array" ref="BC13">SUMPRODUCT(
  (RIGHT([2]Запрос1!$E$2:$E$2465,4) = RIGHT(A13,4)) *
  ([2]Запрос1!$A$2:$A$2465 &gt;= $B$1) *
  ([2]Запрос1!$A$2:$A$2465 &lt;= $B$2) *
[2]Запрос1!$I$2:$I$2465
)*AM13</f>
        <v>0</v>
      </c>
      <c r="BD13" s="142"/>
      <c r="BE13" s="142"/>
      <c r="BF13" s="142"/>
      <c r="BG13" s="143" cm="1">
        <f t="array" ref="BG13">SUMPRODUCT(
    --(RIGHT([3]Запрос1!$C$2:$C$5232,4) = RIGHT(A13,4)),
    --([3]Запрос1!$E$2:$E$5232 &gt;= $B$1),
    --([3]Запрос1!$E$2:$E$5232 &lt;= $B$2)
)*AN13</f>
        <v>0</v>
      </c>
      <c r="BH13" s="143"/>
      <c r="BI13" s="143"/>
      <c r="BJ13" s="143"/>
      <c r="BK13" s="101" cm="1">
        <f t="array" ref="BK13">SUMPRODUCT(
(RIGHT([4]Запрос1!$E$2:$E$5389,4)=RIGHT(A13,4))*
([4]Запрос1!$A$2:$A$5389&gt;=$B$1)*
([4]Запрос1!$A$2:$A$5389&lt;=$B$2)*
[4]Запрос1!$J$2:$J$5389
)*0.01</f>
        <v>0</v>
      </c>
      <c r="BL13" s="142"/>
      <c r="BM13" s="142"/>
      <c r="BN13" s="142"/>
      <c r="BO13" s="101" cm="1">
        <f t="array" ref="BO13">SUMPRODUCT(
  (RIGHT([5]Запрос1!$E$2:$E$5270,4) = RIGHT(A13,4)) *
  ([5]Запрос1!$A$2:$A$5270 &gt;= $B$1) *
  ([5]Запрос1!$A$2:$A$5270 &lt;= $B$2) *
[5]Запрос1!$I$2:$I$5270
)*0.25</f>
        <v>0</v>
      </c>
      <c r="BP13" s="142"/>
      <c r="BQ13" s="142"/>
      <c r="BR13" s="142"/>
      <c r="BS13" s="97"/>
      <c r="BT13" s="146"/>
      <c r="BU13" s="146"/>
      <c r="BV13" s="146"/>
      <c r="BW13" s="101">
        <f t="shared" si="5"/>
        <v>0</v>
      </c>
      <c r="BX13" s="142"/>
      <c r="BY13" s="142"/>
      <c r="BZ13" s="142"/>
      <c r="CA13" s="97"/>
      <c r="CB13" s="146"/>
      <c r="CC13" s="146"/>
      <c r="CD13" s="147"/>
      <c r="CE13" s="148">
        <f t="shared" si="6"/>
        <v>46900</v>
      </c>
      <c r="CF13" s="146"/>
      <c r="CG13" s="146"/>
      <c r="CH13" s="146"/>
      <c r="CI13" s="97"/>
      <c r="CJ13" s="146"/>
      <c r="CK13" s="146"/>
      <c r="CL13" s="146"/>
      <c r="CM13" s="97"/>
      <c r="CN13" s="146"/>
      <c r="CO13" s="146"/>
      <c r="CP13" s="153"/>
      <c r="CQ13" s="154">
        <f t="shared" si="7"/>
        <v>46900</v>
      </c>
      <c r="CR13" s="99"/>
      <c r="CS13" s="99"/>
      <c r="CT13" s="100"/>
      <c r="CU13" s="148">
        <f t="shared" si="3"/>
        <v>0</v>
      </c>
      <c r="CV13" s="93"/>
      <c r="CW13" s="106"/>
    </row>
    <row r="14" spans="1:106" ht="19.5" customHeight="1" thickBot="1" x14ac:dyDescent="0.3">
      <c r="A14" s="15" t="s">
        <v>46</v>
      </c>
      <c r="B14" s="10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 t="s">
        <v>42</v>
      </c>
      <c r="S14" s="17"/>
      <c r="T14" s="17"/>
      <c r="U14" s="17"/>
      <c r="V14" s="17"/>
      <c r="W14" s="17"/>
      <c r="X14" s="17"/>
      <c r="Y14" s="17" t="s">
        <v>42</v>
      </c>
      <c r="Z14" s="17"/>
      <c r="AA14" s="17"/>
      <c r="AB14" s="17"/>
      <c r="AC14" s="17"/>
      <c r="AD14" s="17"/>
      <c r="AE14" s="17"/>
      <c r="AF14" s="17"/>
      <c r="AG14" s="25"/>
      <c r="AH14" s="158">
        <v>4500</v>
      </c>
      <c r="AI14" s="152"/>
      <c r="AJ14" s="152">
        <v>4500</v>
      </c>
      <c r="AK14" s="159"/>
      <c r="AL14" s="18">
        <v>0</v>
      </c>
      <c r="AM14" s="19">
        <v>0</v>
      </c>
      <c r="AN14" s="20">
        <v>0</v>
      </c>
      <c r="AO14" s="160">
        <f t="shared" si="0"/>
        <v>2</v>
      </c>
      <c r="AP14" s="146"/>
      <c r="AQ14" s="161">
        <f t="shared" si="1"/>
        <v>0</v>
      </c>
      <c r="AR14" s="146"/>
      <c r="AS14" s="166">
        <f t="shared" si="9"/>
        <v>2</v>
      </c>
      <c r="AT14" s="147"/>
      <c r="AU14" s="162">
        <f t="shared" si="4"/>
        <v>9000</v>
      </c>
      <c r="AV14" s="146"/>
      <c r="AW14" s="146"/>
      <c r="AX14" s="147"/>
      <c r="AY14" s="141" cm="1">
        <f t="array" ref="AY14">SUMPRODUCT(
(RIGHT([1]Запрос1!$D$2:$D$43198,4)=RIGHT(A14,4))*
([1]Запрос1!$A$2:$A$43198&gt;=$B$1)*
([1]Запрос1!$A$2:$A$43198&lt;=$B$2)*
[1]Запрос1!$F$2:$F$43198)*AL14</f>
        <v>0</v>
      </c>
      <c r="AZ14" s="142"/>
      <c r="BA14" s="142"/>
      <c r="BB14" s="142"/>
      <c r="BC14" s="101" cm="1">
        <f t="array" ref="BC14">SUMPRODUCT(
  (RIGHT([2]Запрос1!$E$2:$E$2465,4) = RIGHT(A14,4)) *
  ([2]Запрос1!$A$2:$A$2465 &gt;= $B$1) *
  ([2]Запрос1!$A$2:$A$2465 &lt;= $B$2) *
[2]Запрос1!$I$2:$I$2465
)*AM14</f>
        <v>0</v>
      </c>
      <c r="BD14" s="142"/>
      <c r="BE14" s="142"/>
      <c r="BF14" s="142"/>
      <c r="BG14" s="143" cm="1">
        <f t="array" ref="BG14">SUMPRODUCT(
    --(RIGHT([3]Запрос1!$C$2:$C$5232,4) = RIGHT(A14,4)),
    --([3]Запрос1!$E$2:$E$5232 &gt;= $B$1),
    --([3]Запрос1!$E$2:$E$5232 &lt;= $B$2)
)*AN14</f>
        <v>0</v>
      </c>
      <c r="BH14" s="143"/>
      <c r="BI14" s="143"/>
      <c r="BJ14" s="143"/>
      <c r="BK14" s="101" cm="1">
        <f t="array" ref="BK14">SUMPRODUCT(
(RIGHT([4]Запрос1!$E$2:$E$5389,4)=RIGHT(A14,4))*
([4]Запрос1!$A$2:$A$5389&gt;=$B$1)*
([4]Запрос1!$A$2:$A$5389&lt;=$B$2)*
[4]Запрос1!$J$2:$J$5389
)*0.01</f>
        <v>0</v>
      </c>
      <c r="BL14" s="142"/>
      <c r="BM14" s="142"/>
      <c r="BN14" s="142"/>
      <c r="BO14" s="101">
        <v>0</v>
      </c>
      <c r="BP14" s="142"/>
      <c r="BQ14" s="142"/>
      <c r="BR14" s="142"/>
      <c r="BS14" s="97"/>
      <c r="BT14" s="146"/>
      <c r="BU14" s="146"/>
      <c r="BV14" s="146"/>
      <c r="BW14" s="101">
        <f t="shared" si="5"/>
        <v>0</v>
      </c>
      <c r="BX14" s="142"/>
      <c r="BY14" s="142"/>
      <c r="BZ14" s="142"/>
      <c r="CA14" s="97"/>
      <c r="CB14" s="146"/>
      <c r="CC14" s="146"/>
      <c r="CD14" s="147"/>
      <c r="CE14" s="148">
        <f t="shared" si="6"/>
        <v>9000</v>
      </c>
      <c r="CF14" s="146"/>
      <c r="CG14" s="146"/>
      <c r="CH14" s="146"/>
      <c r="CI14" s="97"/>
      <c r="CJ14" s="146"/>
      <c r="CK14" s="146"/>
      <c r="CL14" s="146"/>
      <c r="CM14" s="152"/>
      <c r="CN14" s="146"/>
      <c r="CO14" s="146"/>
      <c r="CP14" s="153"/>
      <c r="CQ14" s="154">
        <f t="shared" si="7"/>
        <v>9000</v>
      </c>
      <c r="CR14" s="99"/>
      <c r="CS14" s="99"/>
      <c r="CT14" s="100"/>
      <c r="CU14" s="165">
        <f t="shared" si="3"/>
        <v>0</v>
      </c>
      <c r="CV14" s="93"/>
      <c r="CW14" s="106"/>
    </row>
    <row r="15" spans="1:106" ht="19.5" customHeight="1" thickBot="1" x14ac:dyDescent="0.3">
      <c r="A15" s="15"/>
      <c r="B15" s="10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25"/>
      <c r="AH15" s="131">
        <v>4500</v>
      </c>
      <c r="AI15" s="97"/>
      <c r="AJ15" s="97">
        <v>4500</v>
      </c>
      <c r="AK15" s="132"/>
      <c r="AL15" s="21">
        <v>0</v>
      </c>
      <c r="AM15" s="22">
        <v>0</v>
      </c>
      <c r="AN15" s="23">
        <v>0</v>
      </c>
      <c r="AO15" s="163">
        <f t="shared" si="0"/>
        <v>0</v>
      </c>
      <c r="AP15" s="146"/>
      <c r="AQ15" s="164">
        <f t="shared" si="1"/>
        <v>0</v>
      </c>
      <c r="AR15" s="146"/>
      <c r="AS15" s="167">
        <f t="shared" si="9"/>
        <v>0</v>
      </c>
      <c r="AT15" s="147"/>
      <c r="AU15" s="162">
        <f t="shared" si="4"/>
        <v>0</v>
      </c>
      <c r="AV15" s="146"/>
      <c r="AW15" s="146"/>
      <c r="AX15" s="147"/>
      <c r="AY15" s="141" cm="1">
        <f t="array" ref="AY15">SUMPRODUCT(
(RIGHT([1]Запрос1!$D$2:$D$43198,4)=RIGHT(A15,4))*
([1]Запрос1!$A$2:$A$43198&gt;=$B$1)*
([1]Запрос1!$A$2:$A$43198&lt;=$B$2)*
[1]Запрос1!$F$2:$F$43198)*AL15</f>
        <v>0</v>
      </c>
      <c r="AZ15" s="142"/>
      <c r="BA15" s="142"/>
      <c r="BB15" s="142"/>
      <c r="BC15" s="101" cm="1">
        <f t="array" ref="BC15">SUMPRODUCT(
  (RIGHT([2]Запрос1!$E$2:$E$2465,4) = RIGHT(A15,4)) *
  ([2]Запрос1!$A$2:$A$2465 &gt;= $B$1) *
  ([2]Запрос1!$A$2:$A$2465 &lt;= $B$2) *
[2]Запрос1!$I$2:$I$2465
)*AM15</f>
        <v>0</v>
      </c>
      <c r="BD15" s="142"/>
      <c r="BE15" s="142"/>
      <c r="BF15" s="142"/>
      <c r="BG15" s="143" cm="1">
        <f t="array" ref="BG15">SUMPRODUCT(
    --(RIGHT([3]Запрос1!$C$2:$C$5232,4) = RIGHT(A15,4)),
    --([3]Запрос1!$E$2:$E$5232 &gt;= $B$1),
    --([3]Запрос1!$E$2:$E$5232 &lt;= $B$2)
)*AN15</f>
        <v>0</v>
      </c>
      <c r="BH15" s="143"/>
      <c r="BI15" s="143"/>
      <c r="BJ15" s="143"/>
      <c r="BK15" s="101" cm="1">
        <f t="array" ref="BK15">SUMPRODUCT(
(RIGHT([4]Запрос1!$E$2:$E$5389,4)=RIGHT(A15,4))*
([4]Запрос1!$A$2:$A$5389&gt;=$B$1)*
([4]Запрос1!$A$2:$A$5389&lt;=$B$2)*
[4]Запрос1!$J$2:$J$5389
)*0.01</f>
        <v>0</v>
      </c>
      <c r="BL15" s="142"/>
      <c r="BM15" s="142"/>
      <c r="BN15" s="142"/>
      <c r="BO15" s="101" cm="1">
        <f t="array" ref="BO15">SUMPRODUCT(
  (RIGHT([5]Запрос1!$E$2:$E$5270,4) = RIGHT(A15,4)) *
  ([5]Запрос1!$A$2:$A$5270 &gt;= $B$1) *
  ([5]Запрос1!$A$2:$A$5270 &lt;= $B$2) *
[5]Запрос1!$I$2:$I$5270
)*0.25</f>
        <v>0</v>
      </c>
      <c r="BP15" s="142"/>
      <c r="BQ15" s="142"/>
      <c r="BR15" s="142"/>
      <c r="BS15" s="97"/>
      <c r="BT15" s="146"/>
      <c r="BU15" s="146"/>
      <c r="BV15" s="146"/>
      <c r="BW15" s="101">
        <f>IF(AND(C15="Ц",COUNTIF($C$3:$C$21,"Ц")=1),1000,0) +
IF(AND(D15="Ц",COUNTIF($D$3:$D$21,"Ц")=1),1000,0) +
IF(AND(E15="Ц",COUNTIF($E$3:$E$21,"Ц")=1),1000,0) +
IF(AND(F15="Ц",COUNTIF($F$3:$F$21,"Ц")=1),1000,0) +
IF(AND(G15="Ц",COUNTIF($G$3:$G$21,"Ц")=1),1000,0) +
IF(AND(H15="Ц",COUNTIF($H$3:$H$21,"Ц")=1),1000,0) +
IF(AND(I15="Ц",COUNTIF($I$3:$I$21,"Ц")=1),1000,0) +
IF(AND(J15="Ц",COUNTIF($J$3:$J$21,"Ц")=1),1000,0) +
IF(AND(K15="Ц",COUNTIF($K$3:$K$21,"Ц")=1),1000,0) +
IF(AND(L15="Ц",COUNTIF($L$3:$L$21,"Ц")=1),1000,0) +
IF(AND(M15="Ц",COUNTIF($M$3:$M$21,"Ц")=1),1000,0) +
IF(AND(N15="Ц",COUNTIF($N$3:$N$21,"Ц")=1),1000,0) +
IF(AND(O15="Ц",COUNTIF($O$3:$O$21,"Ц")=1),1000,0) +
IF(AND(P15="Ц",COUNTIF($P$3:$P$21,"Ц")=1),1000,0) +
IF(AND(Q15="Ц",COUNTIF($Q$3:$Q$21,"Ц")=1),1000,0) +
IF(AND(R15="Ц",COUNTIF($R$3:$R$21,"Ц")=1),1000,0) +
IF(AND(S15="Ц",COUNTIF($S$3:$S$21,"Ц")=1),1000,0) +
IF(AND(T15="Ц",COUNTIF($T$3:$T$21,"Ц")=1),1000,0) +
IF(AND(U15="Ц",COUNTIF($U$3:$U$21,"Ц")=1),1000,0) +
IF(AND(V15="Ц",COUNTIF($V$3:$V$21,"Ц")=1),1000,0) +
IF(AND(W15="Ц",COUNTIF($W$3:$W$21,"Ц")=1),1000,0) +
IF(AND(X15="Ц",COUNTIF($X$3:$X$21,"Ц")=1),1000,0) +
IF(AND(Y15="Ц",COUNTIF($Y$3:$Y$21,"Ц")=1),1000,0) +
IF(AND(Z15="Ц",COUNTIF($Z$3:$Z$21,"Ц")=1),1000,0) +
IF(AND(AA15="Ц",COUNTIF($AA$3:$AA$21,"Ц")=1),1000,0) +
IF(AND(AB15="Ц",COUNTIF($AB$3:$AB$21,"Ц")=1),1000,0) +
IF(AND(AC15="Ц",COUNTIF($AC$3:$AC$21,"Ц")=1),1000,0) +
IF(AND(AD15="Ц",COUNTIF($AD$3:$AD$21,"Ц")=1),1000,0) +
IF(AND(AE15="Ц",COUNTIF($AE$3:$AE$21,"Ц")=1),1000,0) +
IF(AND(AF15="Ц",COUNTIF($AF$3:$AF$21,"Ц")=1),1000,0) +
IF(AND(AG15="Ц",COUNTIF($AG$3:$AG$21,"Ц")=1),1000,0)</f>
        <v>0</v>
      </c>
      <c r="BX15" s="142"/>
      <c r="BY15" s="142"/>
      <c r="BZ15" s="142"/>
      <c r="CA15" s="97"/>
      <c r="CB15" s="146"/>
      <c r="CC15" s="146"/>
      <c r="CD15" s="147"/>
      <c r="CE15" s="148">
        <f t="shared" si="6"/>
        <v>0</v>
      </c>
      <c r="CF15" s="146"/>
      <c r="CG15" s="146"/>
      <c r="CH15" s="146"/>
      <c r="CI15" s="97"/>
      <c r="CJ15" s="146"/>
      <c r="CK15" s="146"/>
      <c r="CL15" s="146"/>
      <c r="CM15" s="97"/>
      <c r="CN15" s="146"/>
      <c r="CO15" s="146"/>
      <c r="CP15" s="153"/>
      <c r="CQ15" s="154">
        <f t="shared" si="7"/>
        <v>0</v>
      </c>
      <c r="CR15" s="99"/>
      <c r="CS15" s="99"/>
      <c r="CT15" s="100"/>
      <c r="CU15" s="148">
        <f t="shared" si="3"/>
        <v>0</v>
      </c>
      <c r="CV15" s="93"/>
      <c r="CW15" s="106"/>
    </row>
    <row r="16" spans="1:106" ht="20.100000000000001" customHeight="1" thickBot="1" x14ac:dyDescent="0.3">
      <c r="A16" s="26"/>
      <c r="B16" s="10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25"/>
      <c r="AH16" s="158"/>
      <c r="AI16" s="152"/>
      <c r="AJ16" s="152"/>
      <c r="AK16" s="159"/>
      <c r="AL16" s="18"/>
      <c r="AM16" s="19"/>
      <c r="AN16" s="20"/>
      <c r="AO16" s="160">
        <f t="shared" si="0"/>
        <v>0</v>
      </c>
      <c r="AP16" s="146"/>
      <c r="AQ16" s="161">
        <f t="shared" si="1"/>
        <v>0</v>
      </c>
      <c r="AR16" s="146"/>
      <c r="AS16" s="166">
        <f t="shared" si="9"/>
        <v>0</v>
      </c>
      <c r="AT16" s="147"/>
      <c r="AU16" s="162">
        <f t="shared" si="4"/>
        <v>0</v>
      </c>
      <c r="AV16" s="146"/>
      <c r="AW16" s="146"/>
      <c r="AX16" s="147"/>
      <c r="AY16" s="141" cm="1">
        <f t="array" ref="AY16">SUMPRODUCT(
(RIGHT([1]Запрос1!$D$2:$D$43198,4)=RIGHT(A16,4))*
([1]Запрос1!$A$2:$A$43198&gt;=$B$1)*
([1]Запрос1!$A$2:$A$43198&lt;=$B$2)*
[1]Запрос1!$F$2:$F$43198)*AL16</f>
        <v>0</v>
      </c>
      <c r="AZ16" s="142"/>
      <c r="BA16" s="142"/>
      <c r="BB16" s="142"/>
      <c r="BC16" s="101" cm="1">
        <f t="array" ref="BC16">SUMPRODUCT(
  (RIGHT([2]Запрос1!$E$2:$E$2465,4) = RIGHT(A16,4)) *
  ([2]Запрос1!$A$2:$A$2465 &gt;= $B$1) *
  ([2]Запрос1!$A$2:$A$2465 &lt;= $B$2) *
[2]Запрос1!$I$2:$I$2465
)*AM16</f>
        <v>0</v>
      </c>
      <c r="BD16" s="142"/>
      <c r="BE16" s="142"/>
      <c r="BF16" s="142"/>
      <c r="BG16" s="143" cm="1">
        <f t="array" ref="BG16">SUMPRODUCT(
    --(RIGHT([3]Запрос1!$C$2:$C$5232,4) = RIGHT(A16,4)),
    --([3]Запрос1!$E$2:$E$5232 &gt;= $B$1),
    --([3]Запрос1!$E$2:$E$5232 &lt;= $B$2)
)*AN16</f>
        <v>0</v>
      </c>
      <c r="BH16" s="143"/>
      <c r="BI16" s="143"/>
      <c r="BJ16" s="143"/>
      <c r="BK16" s="101" cm="1">
        <f t="array" ref="BK16">SUMPRODUCT(
(RIGHT([4]Запрос1!$E$2:$E$5389,4)=RIGHT(A16,4))*
([4]Запрос1!$A$2:$A$5389&gt;=$B$1)*
([4]Запрос1!$A$2:$A$5389&lt;=$B$2)*
[4]Запрос1!$J$2:$J$5389
)*0.01</f>
        <v>0</v>
      </c>
      <c r="BL16" s="142"/>
      <c r="BM16" s="142"/>
      <c r="BN16" s="142"/>
      <c r="BO16" s="101" cm="1">
        <f t="array" ref="BO16">SUMPRODUCT(
  (RIGHT([5]Запрос1!$E$2:$E$5270,4) = RIGHT(A16,4)) *
  ([5]Запрос1!$A$2:$A$5270 &gt;= $B$1) *
  ([5]Запрос1!$A$2:$A$5270 &lt;= $B$2) *
[5]Запрос1!$I$2:$I$5270
)*0.25</f>
        <v>0</v>
      </c>
      <c r="BP16" s="142"/>
      <c r="BQ16" s="142"/>
      <c r="BR16" s="142"/>
      <c r="BS16" s="97"/>
      <c r="BT16" s="146"/>
      <c r="BU16" s="146"/>
      <c r="BV16" s="146"/>
      <c r="BW16" s="101">
        <f t="shared" ref="BW16:BW21" si="10">IF(AND(C16="Ц",COUNTIF($C$3:$C$21,"Ц")=1),1000,0) +
IF(AND(D16="Ц",COUNTIF($D$3:$D$21,"Ц")=1),1000,0) +
IF(AND(E16="Ц",COUNTIF($E$3:$E$21,"Ц")=1),1000,0) +
IF(AND(F16="Ц",COUNTIF($F$3:$F$21,"Ц")=1),1000,0) +
IF(AND(G16="Ц",COUNTIF($G$3:$G$21,"Ц")=1),1000,0) +
IF(AND(H16="Ц",COUNTIF($H$3:$H$21,"Ц")=1),1000,0) +
IF(AND(I16="Ц",COUNTIF($I$3:$I$21,"Ц")=1),1000,0) +
IF(AND(J16="Ц",COUNTIF($J$3:$J$21,"Ц")=1),1000,0) +
IF(AND(K16="Ц",COUNTIF($K$3:$K$21,"Ц")=1),1000,0) +
IF(AND(L16="Ц",COUNTIF($L$3:$L$21,"Ц")=1),1000,0) +
IF(AND(M16="Ц",COUNTIF($M$3:$M$21,"Ц")=1),1000,0) +
IF(AND(N16="Ц",COUNTIF($N$3:$N$21,"Ц")=1),1000,0) +
IF(AND(O16="Ц",COUNTIF($O$3:$O$21,"Ц")=1),1000,0) +
IF(AND(P16="Ц",COUNTIF($P$3:$P$21,"Ц")=1),1000,0) +
IF(AND(Q16="Ц",COUNTIF($Q$3:$Q$21,"Ц")=1),1000,0) +
IF(AND(R16="Ц",COUNTIF($R$3:$R$21,"Ц")=1),1000,0) +
IF(AND(S16="Ц",COUNTIF($S$3:$S$21,"Ц")=1),1000,0) +
IF(AND(T16="Ц",COUNTIF($T$3:$T$21,"Ц")=1),1000,0) +
IF(AND(U16="Ц",COUNTIF($U$3:$U$21,"Ц")=1),1000,0) +
IF(AND(V16="Ц",COUNTIF($V$3:$V$21,"Ц")=1),1000,0) +
IF(AND(W16="Ц",COUNTIF($W$3:$W$21,"Ц")=1),1000,0) +
IF(AND(X16="Ц",COUNTIF($X$3:$X$21,"Ц")=1),1000,0) +
IF(AND(Y16="Ц",COUNTIF($Y$3:$Y$21,"Ц")=1),1000,0) +
IF(AND(Z16="Ц",COUNTIF($Z$3:$Z$21,"Ц")=1),1000,0) +
IF(AND(AA16="Ц",COUNTIF($AA$3:$AA$21,"Ц")=1),1000,0) +
IF(AND(AB16="Ц",COUNTIF($AB$3:$AB$21,"Ц")=1),1000,0) +
IF(AND(AC16="Ц",COUNTIF($AC$3:$AC$21,"Ц")=1),1000,0) +
IF(AND(AD16="Ц",COUNTIF($AD$3:$AD$21,"Ц")=1),1000,0) +
IF(AND(AE16="Ц",COUNTIF($AE$3:$AE$21,"Ц")=1),1000,0) +
IF(AND(AF16="Ц",COUNTIF($AF$3:$AF$21,"Ц")=1),1000,0) +
IF(AND(AG16="Ц",COUNTIF($AG$3:$AG$21,"Ц")=1),1000,0)</f>
        <v>0</v>
      </c>
      <c r="BX16" s="142"/>
      <c r="BY16" s="142"/>
      <c r="BZ16" s="142"/>
      <c r="CA16" s="152"/>
      <c r="CB16" s="146"/>
      <c r="CC16" s="146"/>
      <c r="CD16" s="147"/>
      <c r="CE16" s="148">
        <f t="shared" si="6"/>
        <v>0</v>
      </c>
      <c r="CF16" s="146"/>
      <c r="CG16" s="146"/>
      <c r="CH16" s="146"/>
      <c r="CI16" s="97"/>
      <c r="CJ16" s="146"/>
      <c r="CK16" s="146"/>
      <c r="CL16" s="146"/>
      <c r="CM16" s="152"/>
      <c r="CN16" s="146"/>
      <c r="CO16" s="146"/>
      <c r="CP16" s="153"/>
      <c r="CQ16" s="154">
        <f t="shared" si="7"/>
        <v>0</v>
      </c>
      <c r="CR16" s="99"/>
      <c r="CS16" s="99"/>
      <c r="CT16" s="100"/>
      <c r="CU16" s="165">
        <f t="shared" si="3"/>
        <v>0</v>
      </c>
      <c r="CV16" s="93"/>
      <c r="CW16" s="106"/>
      <c r="DB16" s="27" t="s">
        <v>53</v>
      </c>
    </row>
    <row r="17" spans="1:101" ht="20.100000000000001" customHeight="1" thickBot="1" x14ac:dyDescent="0.3">
      <c r="A17" s="26"/>
      <c r="B17" s="10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24"/>
      <c r="AH17" s="131"/>
      <c r="AI17" s="97"/>
      <c r="AJ17" s="97"/>
      <c r="AK17" s="132"/>
      <c r="AL17" s="21"/>
      <c r="AM17" s="22"/>
      <c r="AN17" s="23"/>
      <c r="AO17" s="160">
        <f t="shared" si="0"/>
        <v>0</v>
      </c>
      <c r="AP17" s="146"/>
      <c r="AQ17" s="161">
        <f t="shared" si="1"/>
        <v>0</v>
      </c>
      <c r="AR17" s="146"/>
      <c r="AS17" s="166">
        <f t="shared" si="9"/>
        <v>0</v>
      </c>
      <c r="AT17" s="147"/>
      <c r="AU17" s="162">
        <f t="shared" si="4"/>
        <v>0</v>
      </c>
      <c r="AV17" s="146"/>
      <c r="AW17" s="146"/>
      <c r="AX17" s="147"/>
      <c r="AY17" s="141" cm="1">
        <f t="array" ref="AY17">SUMPRODUCT(
(RIGHT([1]Запрос1!$D$2:$D$43198,4)=RIGHT(A17,4))*
([1]Запрос1!$A$2:$A$43198&gt;=$B$1)*
([1]Запрос1!$A$2:$A$43198&lt;=$B$2)*
[1]Запрос1!$F$2:$F$43198)*AL17</f>
        <v>0</v>
      </c>
      <c r="AZ17" s="142"/>
      <c r="BA17" s="142"/>
      <c r="BB17" s="142"/>
      <c r="BC17" s="101" cm="1">
        <f t="array" ref="BC17">SUMPRODUCT(
  (RIGHT([2]Запрос1!$E$2:$E$2465,4) = RIGHT(A17,4)) *
  ([2]Запрос1!$A$2:$A$2465 &gt;= $B$1) *
  ([2]Запрос1!$A$2:$A$2465 &lt;= $B$2) *
[2]Запрос1!$I$2:$I$2465
)*AM17</f>
        <v>0</v>
      </c>
      <c r="BD17" s="142"/>
      <c r="BE17" s="142"/>
      <c r="BF17" s="142"/>
      <c r="BG17" s="143" cm="1">
        <f t="array" ref="BG17">SUMPRODUCT(
    --(RIGHT([3]Запрос1!$C$2:$C$5232,4) = RIGHT(A17,4)),
    --([3]Запрос1!$E$2:$E$5232 &gt;= $B$1),
    --([3]Запрос1!$E$2:$E$5232 &lt;= $B$2)
)*AN17</f>
        <v>0</v>
      </c>
      <c r="BH17" s="143"/>
      <c r="BI17" s="143"/>
      <c r="BJ17" s="143"/>
      <c r="BK17" s="101" cm="1">
        <f t="array" ref="BK17">SUMPRODUCT(
(RIGHT([4]Запрос1!$E$2:$E$5389,4)=RIGHT(A17,4))*
([4]Запрос1!$A$2:$A$5389&gt;=$B$1)*
([4]Запрос1!$A$2:$A$5389&lt;=$B$2)*
[4]Запрос1!$J$2:$J$5389
)*0.01</f>
        <v>0</v>
      </c>
      <c r="BL17" s="142"/>
      <c r="BM17" s="142"/>
      <c r="BN17" s="142"/>
      <c r="BO17" s="101">
        <v>0</v>
      </c>
      <c r="BP17" s="142"/>
      <c r="BQ17" s="142"/>
      <c r="BR17" s="142"/>
      <c r="BS17" s="97"/>
      <c r="BT17" s="146"/>
      <c r="BU17" s="146"/>
      <c r="BV17" s="146"/>
      <c r="BW17" s="101">
        <f t="shared" si="10"/>
        <v>0</v>
      </c>
      <c r="BX17" s="142"/>
      <c r="BY17" s="142"/>
      <c r="BZ17" s="142"/>
      <c r="CA17" s="152"/>
      <c r="CB17" s="146"/>
      <c r="CC17" s="146"/>
      <c r="CD17" s="147"/>
      <c r="CE17" s="148">
        <f t="shared" si="6"/>
        <v>0</v>
      </c>
      <c r="CF17" s="146"/>
      <c r="CG17" s="146"/>
      <c r="CH17" s="146"/>
      <c r="CI17" s="97"/>
      <c r="CJ17" s="146"/>
      <c r="CK17" s="146"/>
      <c r="CL17" s="146"/>
      <c r="CM17" s="152"/>
      <c r="CN17" s="146"/>
      <c r="CO17" s="146"/>
      <c r="CP17" s="153"/>
      <c r="CQ17" s="154">
        <f t="shared" si="7"/>
        <v>0</v>
      </c>
      <c r="CR17" s="99"/>
      <c r="CS17" s="99"/>
      <c r="CT17" s="100"/>
      <c r="CU17" s="165">
        <f t="shared" si="3"/>
        <v>0</v>
      </c>
      <c r="CV17" s="93"/>
      <c r="CW17" s="106"/>
    </row>
    <row r="18" spans="1:101" ht="20.100000000000001" customHeight="1" thickBot="1" x14ac:dyDescent="0.3">
      <c r="A18" s="26"/>
      <c r="B18" s="10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24"/>
      <c r="AH18" s="158"/>
      <c r="AI18" s="152"/>
      <c r="AJ18" s="152"/>
      <c r="AK18" s="159"/>
      <c r="AL18" s="18"/>
      <c r="AM18" s="19"/>
      <c r="AN18" s="20"/>
      <c r="AO18" s="160">
        <v>0</v>
      </c>
      <c r="AP18" s="146"/>
      <c r="AQ18" s="161">
        <v>0</v>
      </c>
      <c r="AR18" s="146"/>
      <c r="AS18" s="166">
        <v>0</v>
      </c>
      <c r="AT18" s="147"/>
      <c r="AU18" s="162">
        <f t="shared" si="4"/>
        <v>0</v>
      </c>
      <c r="AV18" s="146"/>
      <c r="AW18" s="146"/>
      <c r="AX18" s="147"/>
      <c r="AY18" s="141" cm="1">
        <f t="array" ref="AY18">SUMPRODUCT(
(RIGHT([1]Запрос1!$D$2:$D$43198,4)=RIGHT(A18,4))*
([1]Запрос1!$A$2:$A$43198&gt;=$B$1)*
([1]Запрос1!$A$2:$A$43198&lt;=$B$2)*
[1]Запрос1!$F$2:$F$43198)*AL18</f>
        <v>0</v>
      </c>
      <c r="AZ18" s="142"/>
      <c r="BA18" s="142"/>
      <c r="BB18" s="142"/>
      <c r="BC18" s="101" cm="1">
        <f t="array" ref="BC18">SUMPRODUCT(
  (RIGHT([2]Запрос1!$E$2:$E$2465,4) = RIGHT(A18,4)) *
  ([2]Запрос1!$A$2:$A$2465 &gt;= $B$1) *
  ([2]Запрос1!$A$2:$A$2465 &lt;= $B$2) *
[2]Запрос1!$I$2:$I$2465
)*AM18</f>
        <v>0</v>
      </c>
      <c r="BD18" s="142"/>
      <c r="BE18" s="142"/>
      <c r="BF18" s="142"/>
      <c r="BG18" s="143" cm="1">
        <f t="array" ref="BG18">SUMPRODUCT(
    --(RIGHT([3]Запрос1!$C$2:$C$5232,4) = RIGHT(A18,4)),
    --([3]Запрос1!$E$2:$E$5232 &gt;= $B$1),
    --([3]Запрос1!$E$2:$E$5232 &lt;= $B$2)
)*AN18</f>
        <v>0</v>
      </c>
      <c r="BH18" s="143"/>
      <c r="BI18" s="143"/>
      <c r="BJ18" s="143"/>
      <c r="BK18" s="101" cm="1">
        <f t="array" ref="BK18">SUMPRODUCT(
(RIGHT([4]Запрос1!$E$2:$E$5389,4)=RIGHT(A18,4))*
([4]Запрос1!$A$2:$A$5389&gt;=$B$1)*
([4]Запрос1!$A$2:$A$5389&lt;=$B$2)*
[4]Запрос1!$J$2:$J$5389
)*0.01</f>
        <v>0</v>
      </c>
      <c r="BL18" s="142"/>
      <c r="BM18" s="142"/>
      <c r="BN18" s="142"/>
      <c r="BO18" s="101" cm="1">
        <f t="array" ref="BO18">SUMPRODUCT(
  (RIGHT([5]Запрос1!$E$2:$E$5270,4) = RIGHT(A18,4)) *
  ([5]Запрос1!$A$2:$A$5270 &gt;= $B$1) *
  ([5]Запрос1!$A$2:$A$5270 &lt;= $B$2) *
[5]Запрос1!$I$2:$I$5270
)*0.25</f>
        <v>0</v>
      </c>
      <c r="BP18" s="142"/>
      <c r="BQ18" s="142"/>
      <c r="BR18" s="142"/>
      <c r="BS18" s="97"/>
      <c r="BT18" s="146"/>
      <c r="BU18" s="146"/>
      <c r="BV18" s="146"/>
      <c r="BW18" s="101">
        <f t="shared" si="10"/>
        <v>0</v>
      </c>
      <c r="BX18" s="142"/>
      <c r="BY18" s="142"/>
      <c r="BZ18" s="142"/>
      <c r="CA18" s="152"/>
      <c r="CB18" s="146"/>
      <c r="CC18" s="146"/>
      <c r="CD18" s="147"/>
      <c r="CE18" s="148">
        <f t="shared" si="6"/>
        <v>0</v>
      </c>
      <c r="CF18" s="146"/>
      <c r="CG18" s="146"/>
      <c r="CH18" s="146"/>
      <c r="CI18" s="97"/>
      <c r="CJ18" s="146"/>
      <c r="CK18" s="146"/>
      <c r="CL18" s="146"/>
      <c r="CM18" s="152"/>
      <c r="CN18" s="146"/>
      <c r="CO18" s="146"/>
      <c r="CP18" s="153"/>
      <c r="CQ18" s="154">
        <f t="shared" si="7"/>
        <v>0</v>
      </c>
      <c r="CR18" s="99"/>
      <c r="CS18" s="99"/>
      <c r="CT18" s="100"/>
      <c r="CU18" s="165"/>
      <c r="CV18" s="93"/>
      <c r="CW18" s="106"/>
    </row>
    <row r="19" spans="1:101" ht="20.100000000000001" customHeight="1" thickBot="1" x14ac:dyDescent="0.3">
      <c r="A19" s="28"/>
      <c r="B19" s="10"/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 t="s">
        <v>69</v>
      </c>
      <c r="AB19" s="17"/>
      <c r="AC19" s="17"/>
      <c r="AD19" s="17"/>
      <c r="AE19" s="17"/>
      <c r="AF19" s="17"/>
      <c r="AG19" s="25"/>
      <c r="AH19" s="131"/>
      <c r="AI19" s="97"/>
      <c r="AJ19" s="97"/>
      <c r="AK19" s="132"/>
      <c r="AL19" s="21"/>
      <c r="AM19" s="22"/>
      <c r="AN19" s="23"/>
      <c r="AO19" s="163">
        <f>AS19-AQ19</f>
        <v>0</v>
      </c>
      <c r="AP19" s="146"/>
      <c r="AQ19" s="164">
        <f>IF(AS19&gt;15, AS19-15, 0)</f>
        <v>0</v>
      </c>
      <c r="AR19" s="146"/>
      <c r="AS19" s="164">
        <f>COUNTIF(C19:AG19, "М")+COUNTIF(C19:AG19, "Ц")+COUNTIF(C19:AG19, "П")+COUNTIF(C19:AG19, "Ох")+COUNTIF(C19:AG19, "Оз")+COUNTIF(C19:AG19, "А")+COUNTIF(C19:AG19, "Р")+(COUNTIF(C19:AG19, "05М")/2)+(COUNTIF(C19:AG19, "05Ц")/2)+(COUNTIF(C19:AG19, "05П")/2)+(COUNTIF(C19:AG19, "05Ох")/2)+(COUNTIF(C19:AG19, "05Оз")/2)+(COUNTIF(C19:AG19, "05А")/2)+(COUNTIF(C19:AG19, "05Р")/2)</f>
        <v>0</v>
      </c>
      <c r="AT19" s="147"/>
      <c r="AU19" s="162">
        <f t="shared" si="4"/>
        <v>0</v>
      </c>
      <c r="AV19" s="146"/>
      <c r="AW19" s="146"/>
      <c r="AX19" s="147"/>
      <c r="AY19" s="141" cm="1">
        <f t="array" ref="AY19">SUMPRODUCT(
(RIGHT([1]Запрос1!$D$2:$D$43198,4)=RIGHT(A19,4))*
([1]Запрос1!$A$2:$A$43198&gt;=$B$1)*
([1]Запрос1!$A$2:$A$43198&lt;=$B$2)*
[1]Запрос1!$F$2:$F$43198)*AL19</f>
        <v>0</v>
      </c>
      <c r="AZ19" s="142"/>
      <c r="BA19" s="142"/>
      <c r="BB19" s="142"/>
      <c r="BC19" s="101" cm="1">
        <f t="array" ref="BC19">SUMPRODUCT(
  (RIGHT([2]Запрос1!$E$2:$E$2465,4) = RIGHT(A19,4)) *
  ([2]Запрос1!$A$2:$A$2465 &gt;= $B$1) *
  ([2]Запрос1!$A$2:$A$2465 &lt;= $B$2) *
[2]Запрос1!$I$2:$I$2465
)*AM19</f>
        <v>0</v>
      </c>
      <c r="BD19" s="142"/>
      <c r="BE19" s="142"/>
      <c r="BF19" s="142"/>
      <c r="BG19" s="143" cm="1">
        <f t="array" ref="BG19">SUMPRODUCT(
    --(RIGHT([3]Запрос1!$C$2:$C$5232,4) = RIGHT(A19,4)),
    --([3]Запрос1!$E$2:$E$5232 &gt;= $B$1),
    --([3]Запрос1!$E$2:$E$5232 &lt;= $B$2)
)*AN19</f>
        <v>0</v>
      </c>
      <c r="BH19" s="143"/>
      <c r="BI19" s="143"/>
      <c r="BJ19" s="143"/>
      <c r="BK19" s="101" cm="1">
        <f t="array" ref="BK19">SUMPRODUCT(
(RIGHT([4]Запрос1!$E$2:$E$5389,4)=RIGHT(A19,4))*
([4]Запрос1!$A$2:$A$5389&gt;=$B$1)*
([4]Запрос1!$A$2:$A$5389&lt;=$B$2)*
[4]Запрос1!$J$2:$J$5389
)*0.01</f>
        <v>0</v>
      </c>
      <c r="BL19" s="142"/>
      <c r="BM19" s="142"/>
      <c r="BN19" s="142"/>
      <c r="BO19" s="101" cm="1">
        <f t="array" ref="BO19">SUMPRODUCT(
  (RIGHT([5]Запрос1!$E$2:$E$5270,4) = RIGHT(A19,4)) *
  ([5]Запрос1!$A$2:$A$5270 &gt;= $B$1) *
  ([5]Запрос1!$A$2:$A$5270 &lt;= $B$2) *
[5]Запрос1!$I$2:$I$5270
)*0.25</f>
        <v>0</v>
      </c>
      <c r="BP19" s="142"/>
      <c r="BQ19" s="142"/>
      <c r="BR19" s="142"/>
      <c r="BS19" s="97"/>
      <c r="BT19" s="146"/>
      <c r="BU19" s="146"/>
      <c r="BV19" s="146"/>
      <c r="BW19" s="101">
        <f t="shared" si="10"/>
        <v>0</v>
      </c>
      <c r="BX19" s="142"/>
      <c r="BY19" s="142"/>
      <c r="BZ19" s="142"/>
      <c r="CA19" s="97"/>
      <c r="CB19" s="146"/>
      <c r="CC19" s="146"/>
      <c r="CD19" s="147"/>
      <c r="CE19" s="148">
        <f t="shared" si="6"/>
        <v>0</v>
      </c>
      <c r="CF19" s="146"/>
      <c r="CG19" s="146"/>
      <c r="CH19" s="146"/>
      <c r="CI19" s="97"/>
      <c r="CJ19" s="146"/>
      <c r="CK19" s="146"/>
      <c r="CL19" s="146"/>
      <c r="CM19" s="97"/>
      <c r="CN19" s="146"/>
      <c r="CO19" s="146"/>
      <c r="CP19" s="153"/>
      <c r="CQ19" s="154">
        <f t="shared" si="7"/>
        <v>0</v>
      </c>
      <c r="CR19" s="99"/>
      <c r="CS19" s="99"/>
      <c r="CT19" s="100"/>
      <c r="CU19" s="144">
        <f>AJ19*AQ19-AH19*AQ19</f>
        <v>0</v>
      </c>
      <c r="CV19" s="145"/>
      <c r="CW19" s="110"/>
    </row>
    <row r="20" spans="1:101" ht="20.100000000000001" customHeight="1" thickBot="1" x14ac:dyDescent="0.3">
      <c r="A20" s="28"/>
      <c r="B20" s="29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 t="s">
        <v>68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25"/>
      <c r="AH20" s="158"/>
      <c r="AI20" s="152"/>
      <c r="AJ20" s="152"/>
      <c r="AK20" s="159"/>
      <c r="AL20" s="18"/>
      <c r="AM20" s="19"/>
      <c r="AN20" s="20"/>
      <c r="AO20" s="160">
        <f>AS20-AQ20</f>
        <v>0</v>
      </c>
      <c r="AP20" s="146"/>
      <c r="AQ20" s="161">
        <f>IF(AS20&gt;15, AS20-15, 0)</f>
        <v>0</v>
      </c>
      <c r="AR20" s="146"/>
      <c r="AS20" s="161">
        <f>COUNTIF(C20:AG20, "М")+COUNTIF(C20:AG20, "Ц")+COUNTIF(C20:AG20, "П")+COUNTIF(C20:AG20, "Ох")+COUNTIF(C20:AG20, "Оз")+COUNTIF(C20:AG20, "А")+COUNTIF(C20:AG20, "Р")+(COUNTIF(C20:AG20, "05М")/2)+(COUNTIF(C20:AG20, "05Ц")/2)+(COUNTIF(C20:AG20, "05П")/2)+(COUNTIF(C20:AG20, "05Ох")/2)+(COUNTIF(C20:AG20, "05Оз")/2)+(COUNTIF(C20:AG20, "05А")/2)+(COUNTIF(C20:AG20, "05Р")/2)</f>
        <v>0</v>
      </c>
      <c r="AT20" s="147"/>
      <c r="AU20" s="162">
        <f t="shared" si="4"/>
        <v>0</v>
      </c>
      <c r="AV20" s="146"/>
      <c r="AW20" s="146"/>
      <c r="AX20" s="147"/>
      <c r="AY20" s="141" cm="1">
        <f t="array" ref="AY20">SUMPRODUCT(
(RIGHT([1]Запрос1!$D$2:$D$43198,4)=RIGHT(A20,4))*
([1]Запрос1!$A$2:$A$43198&gt;=$B$1)*
([1]Запрос1!$A$2:$A$43198&lt;=$B$2)*
[1]Запрос1!$F$2:$F$43198)*AL20</f>
        <v>0</v>
      </c>
      <c r="AZ20" s="142"/>
      <c r="BA20" s="142"/>
      <c r="BB20" s="142"/>
      <c r="BC20" s="101" cm="1">
        <f t="array" ref="BC20">SUMPRODUCT(
  (RIGHT([2]Запрос1!$E$2:$E$2465,4) = RIGHT(A20,4)) *
  ([2]Запрос1!$A$2:$A$2465 &gt;= $B$1) *
  ([2]Запрос1!$A$2:$A$2465 &lt;= $B$2) *
[2]Запрос1!$I$2:$I$2465
)*AM20</f>
        <v>0</v>
      </c>
      <c r="BD20" s="142"/>
      <c r="BE20" s="142"/>
      <c r="BF20" s="142"/>
      <c r="BG20" s="143" cm="1">
        <f t="array" ref="BG20">SUMPRODUCT(
    --(RIGHT([3]Запрос1!$C$2:$C$5232,4) = RIGHT(A20,4)),
    --([3]Запрос1!$E$2:$E$5232 &gt;= $B$1),
    --([3]Запрос1!$E$2:$E$5232 &lt;= $B$2)
)*AN20</f>
        <v>0</v>
      </c>
      <c r="BH20" s="143"/>
      <c r="BI20" s="143"/>
      <c r="BJ20" s="143"/>
      <c r="BK20" s="101" cm="1">
        <f t="array" ref="BK20">SUMPRODUCT(
(RIGHT([4]Запрос1!$E$2:$E$5389,4)=RIGHT(A20,4))*
([4]Запрос1!$A$2:$A$5389&gt;=$B$1)*
([4]Запрос1!$A$2:$A$5389&lt;=$B$2)*
[4]Запрос1!$J$2:$J$5389
)*0.01</f>
        <v>0</v>
      </c>
      <c r="BL20" s="142"/>
      <c r="BM20" s="142"/>
      <c r="BN20" s="142"/>
      <c r="BO20" s="101" cm="1">
        <f t="array" ref="BO20">SUMPRODUCT(
  (RIGHT([5]Запрос1!$E$2:$E$5270,4) = RIGHT(A20,4)) *
  ([5]Запрос1!$A$2:$A$5270 &gt;= $B$1) *
  ([5]Запрос1!$A$2:$A$5270 &lt;= $B$2) *
[5]Запрос1!$I$2:$I$5270
)*0.25</f>
        <v>0</v>
      </c>
      <c r="BP20" s="142"/>
      <c r="BQ20" s="142"/>
      <c r="BR20" s="142"/>
      <c r="BS20" s="152"/>
      <c r="BT20" s="146"/>
      <c r="BU20" s="146"/>
      <c r="BV20" s="146"/>
      <c r="BW20" s="101">
        <f t="shared" si="10"/>
        <v>0</v>
      </c>
      <c r="BX20" s="142"/>
      <c r="BY20" s="142"/>
      <c r="BZ20" s="142"/>
      <c r="CA20" s="152"/>
      <c r="CB20" s="146"/>
      <c r="CC20" s="146"/>
      <c r="CD20" s="147"/>
      <c r="CE20" s="148">
        <f t="shared" si="6"/>
        <v>0</v>
      </c>
      <c r="CF20" s="146"/>
      <c r="CG20" s="146"/>
      <c r="CH20" s="146"/>
      <c r="CI20" s="97"/>
      <c r="CJ20" s="146"/>
      <c r="CK20" s="146"/>
      <c r="CL20" s="146"/>
      <c r="CM20" s="152"/>
      <c r="CN20" s="146"/>
      <c r="CO20" s="146"/>
      <c r="CP20" s="153"/>
      <c r="CQ20" s="154">
        <f t="shared" si="7"/>
        <v>0</v>
      </c>
      <c r="CR20" s="99"/>
      <c r="CS20" s="99"/>
      <c r="CT20" s="100"/>
      <c r="CU20" s="149">
        <f>AJ20*AQ20-AH20*AQ20</f>
        <v>0</v>
      </c>
      <c r="CV20" s="150"/>
      <c r="CW20" s="151"/>
    </row>
    <row r="21" spans="1:101" ht="20.100000000000001" customHeight="1" thickBot="1" x14ac:dyDescent="0.3">
      <c r="B21" s="29"/>
      <c r="C21" s="30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2"/>
      <c r="AH21" s="131"/>
      <c r="AI21" s="97"/>
      <c r="AJ21" s="97"/>
      <c r="AK21" s="132"/>
      <c r="AL21" s="21"/>
      <c r="AM21" s="22"/>
      <c r="AN21" s="23"/>
      <c r="AO21" s="133">
        <f>AS21-AQ21</f>
        <v>0</v>
      </c>
      <c r="AP21" s="134"/>
      <c r="AQ21" s="135">
        <f>IF(AS21&gt;15, AS21-15, 0)</f>
        <v>0</v>
      </c>
      <c r="AR21" s="134"/>
      <c r="AS21" s="135">
        <f>COUNTIF(C21:AG21, "М")+COUNTIF(C21:AG21, "Ц")+COUNTIF(C21:AG21, "П")+COUNTIF(C21:AG21, "Ох")+COUNTIF(C21:AG21, "Оз")+COUNTIF(C21:AG21, "А")+COUNTIF(C21:AG21, "Р")+(COUNTIF(C21:AG21, "05М")/2)+(COUNTIF(C21:AG21, "05Ц")/2)+(COUNTIF(C21:AG21, "05П")/2)+(COUNTIF(C21:AG21, "05Ох")/2)+(COUNTIF(C21:AG21, "05Оз")/2)+(COUNTIF(C21:AG21, "05А")/2)+(COUNTIF(C21:AG21, "05Р")/2)</f>
        <v>0</v>
      </c>
      <c r="AT21" s="136"/>
      <c r="AU21" s="137">
        <f t="shared" si="4"/>
        <v>0</v>
      </c>
      <c r="AV21" s="134"/>
      <c r="AW21" s="134"/>
      <c r="AX21" s="136"/>
      <c r="AY21" s="141" cm="1">
        <f t="array" ref="AY21">SUMPRODUCT(
(RIGHT([1]Запрос1!$D$2:$D$43198,4)=RIGHT(A21,4))*
([1]Запрос1!$A$2:$A$43198&gt;=$B$1)*
([1]Запрос1!$A$2:$A$43198&lt;=$B$2)*
[1]Запрос1!$F$2:$F$43198)*AL21</f>
        <v>0</v>
      </c>
      <c r="AZ21" s="142"/>
      <c r="BA21" s="142"/>
      <c r="BB21" s="142"/>
      <c r="BC21" s="101" cm="1">
        <f t="array" ref="BC21">SUMPRODUCT(
  (RIGHT([2]Запрос1!$E$2:$E$2465,4) = RIGHT(A21,4)) *
  ([2]Запрос1!$A$2:$A$2465 &gt;= $B$1) *
  ([2]Запрос1!$A$2:$A$2465 &lt;= $B$2) *
[2]Запрос1!$I$2:$I$2465
)*AM21</f>
        <v>0</v>
      </c>
      <c r="BD21" s="142"/>
      <c r="BE21" s="142"/>
      <c r="BF21" s="142"/>
      <c r="BG21" s="143" cm="1">
        <f t="array" ref="BG21">SUMPRODUCT(
    --(RIGHT([3]Запрос1!$C$54:$C$5232,4) = RIGHT(A21,4)),
    --([3]Запрос1!$E$54:$E$5232 &gt;= $B$1),
    --([3]Запрос1!$E$54:$E$5232 &lt;= $B$2)
)*AN21</f>
        <v>0</v>
      </c>
      <c r="BH21" s="143"/>
      <c r="BI21" s="143"/>
      <c r="BJ21" s="143"/>
      <c r="BK21" s="101" cm="1">
        <f t="array" ref="BK21">SUMPRODUCT(
(RIGHT([4]Запрос1!$E$2:$E$5389,4)=RIGHT(A21,4))*
([4]Запрос1!$A$2:$A$5389&gt;=$B$1)*
([4]Запрос1!$A$2:$A$5389&lt;=$B$2)*
[4]Запрос1!$J$2:$J$5389
)*0.01</f>
        <v>0</v>
      </c>
      <c r="BL21" s="142"/>
      <c r="BM21" s="142"/>
      <c r="BN21" s="142"/>
      <c r="BO21" s="101" cm="1">
        <f t="array" ref="BO21">SUMPRODUCT(
  (RIGHT([5]Запрос1!$E$2:$E$5270,4) = RIGHT(A21,4)) *
  ([5]Запрос1!$A$2:$A$5270 &gt;= $B$1) *
  ([5]Запрос1!$A$2:$A$5270 &lt;= $B$2) *
[5]Запрос1!$I$2:$I$5270
)*0.25</f>
        <v>0</v>
      </c>
      <c r="BP21" s="142"/>
      <c r="BQ21" s="142"/>
      <c r="BR21" s="142"/>
      <c r="BS21" s="155"/>
      <c r="BT21" s="134"/>
      <c r="BU21" s="134"/>
      <c r="BV21" s="134"/>
      <c r="BW21" s="101">
        <f t="shared" si="10"/>
        <v>0</v>
      </c>
      <c r="BX21" s="142"/>
      <c r="BY21" s="142"/>
      <c r="BZ21" s="142"/>
      <c r="CA21" s="155"/>
      <c r="CB21" s="134"/>
      <c r="CC21" s="134"/>
      <c r="CD21" s="136"/>
      <c r="CE21" s="144">
        <f t="shared" si="6"/>
        <v>0</v>
      </c>
      <c r="CF21" s="134"/>
      <c r="CG21" s="134"/>
      <c r="CH21" s="134"/>
      <c r="CI21" s="155"/>
      <c r="CJ21" s="134"/>
      <c r="CK21" s="134"/>
      <c r="CL21" s="134"/>
      <c r="CM21" s="155"/>
      <c r="CN21" s="134"/>
      <c r="CO21" s="134"/>
      <c r="CP21" s="156"/>
      <c r="CQ21" s="154">
        <f>(AU21+SUM(AY21:CD21))-SUM(CI21:CP21)</f>
        <v>0</v>
      </c>
      <c r="CR21" s="99"/>
      <c r="CS21" s="99"/>
      <c r="CT21" s="100"/>
      <c r="CU21" s="157">
        <f>AJ21*AQ21-AH21*AQ21</f>
        <v>0</v>
      </c>
      <c r="CV21" s="86"/>
      <c r="CW21" s="87"/>
    </row>
    <row r="22" spans="1:101" ht="20.100000000000001" customHeight="1" thickBot="1" x14ac:dyDescent="0.3">
      <c r="C22" s="33">
        <v>1</v>
      </c>
      <c r="D22" s="34">
        <v>2</v>
      </c>
      <c r="E22" s="35">
        <v>3</v>
      </c>
      <c r="F22" s="35">
        <v>4</v>
      </c>
      <c r="G22" s="35">
        <v>5</v>
      </c>
      <c r="H22" s="35">
        <v>6</v>
      </c>
      <c r="I22" s="35">
        <v>7</v>
      </c>
      <c r="J22" s="35">
        <v>8</v>
      </c>
      <c r="K22" s="35">
        <v>9</v>
      </c>
      <c r="L22" s="35">
        <v>10</v>
      </c>
      <c r="M22" s="35">
        <v>11</v>
      </c>
      <c r="N22" s="35">
        <v>12</v>
      </c>
      <c r="O22" s="35">
        <v>13</v>
      </c>
      <c r="P22" s="35">
        <v>14</v>
      </c>
      <c r="Q22" s="35">
        <v>15</v>
      </c>
      <c r="R22" s="35">
        <v>16</v>
      </c>
      <c r="S22" s="35">
        <v>17</v>
      </c>
      <c r="T22" s="35">
        <v>18</v>
      </c>
      <c r="U22" s="35">
        <v>19</v>
      </c>
      <c r="V22" s="35">
        <v>20</v>
      </c>
      <c r="W22" s="35">
        <v>21</v>
      </c>
      <c r="X22" s="35">
        <v>22</v>
      </c>
      <c r="Y22" s="35">
        <v>23</v>
      </c>
      <c r="Z22" s="35">
        <v>24</v>
      </c>
      <c r="AA22" s="35">
        <v>25</v>
      </c>
      <c r="AB22" s="35">
        <v>26</v>
      </c>
      <c r="AC22" s="35">
        <v>27</v>
      </c>
      <c r="AD22" s="35">
        <v>28</v>
      </c>
      <c r="AE22" s="35">
        <v>29</v>
      </c>
      <c r="AF22" s="35">
        <v>30</v>
      </c>
      <c r="AG22" s="36">
        <v>31</v>
      </c>
      <c r="AH22" s="111" t="s">
        <v>54</v>
      </c>
      <c r="AI22" s="127"/>
      <c r="AJ22" s="127"/>
      <c r="AK22" s="112"/>
      <c r="AL22" s="76"/>
      <c r="AM22" s="76"/>
      <c r="AN22" s="38"/>
      <c r="AO22" s="138" t="s">
        <v>55</v>
      </c>
      <c r="AP22" s="127"/>
      <c r="AQ22" s="139"/>
      <c r="AR22" s="140">
        <f>SUM(AJ23:AP29)</f>
        <v>168</v>
      </c>
      <c r="AS22" s="127"/>
      <c r="AT22" s="112"/>
      <c r="AU22" s="128">
        <f>SUM(AU3:AX21)</f>
        <v>568450</v>
      </c>
      <c r="AV22" s="83"/>
      <c r="AW22" s="83"/>
      <c r="AX22" s="84"/>
      <c r="AY22" s="128">
        <f>SUM(AY3:BB21)</f>
        <v>766.7600000000001</v>
      </c>
      <c r="AZ22" s="83"/>
      <c r="BA22" s="83"/>
      <c r="BB22" s="84"/>
      <c r="BC22" s="128">
        <f>SUM(BC3:BF21)</f>
        <v>256.60000000000002</v>
      </c>
      <c r="BD22" s="83"/>
      <c r="BE22" s="83"/>
      <c r="BF22" s="84"/>
      <c r="BG22" s="128">
        <f>SUM(BG3:BJ21)</f>
        <v>2900</v>
      </c>
      <c r="BH22" s="83"/>
      <c r="BI22" s="83"/>
      <c r="BJ22" s="84"/>
      <c r="BK22" s="128">
        <f>SUM(BK3:BN21)</f>
        <v>0</v>
      </c>
      <c r="BL22" s="83"/>
      <c r="BM22" s="83"/>
      <c r="BN22" s="84"/>
      <c r="BO22" s="128">
        <f>SUM(BO3:BR21)</f>
        <v>0</v>
      </c>
      <c r="BP22" s="83"/>
      <c r="BQ22" s="83"/>
      <c r="BR22" s="84"/>
      <c r="BS22" s="128">
        <f>SUM(BS3:BV21)</f>
        <v>0</v>
      </c>
      <c r="BT22" s="83"/>
      <c r="BU22" s="83"/>
      <c r="BV22" s="84"/>
      <c r="BW22" s="128">
        <f>SUM(BW3:BZ21)</f>
        <v>28000</v>
      </c>
      <c r="BX22" s="83"/>
      <c r="BY22" s="83"/>
      <c r="BZ22" s="84"/>
      <c r="CA22" s="128">
        <f>SUM(CA3:CD21)</f>
        <v>0</v>
      </c>
      <c r="CB22" s="83"/>
      <c r="CC22" s="83"/>
      <c r="CD22" s="84"/>
      <c r="CE22" s="129">
        <f>SUM(CE3:CH21)</f>
        <v>600373.36</v>
      </c>
      <c r="CF22" s="127"/>
      <c r="CG22" s="127"/>
      <c r="CH22" s="112"/>
      <c r="CI22" s="129">
        <f>SUM(CI3:CL21)</f>
        <v>150</v>
      </c>
      <c r="CJ22" s="127"/>
      <c r="CK22" s="127"/>
      <c r="CL22" s="112"/>
      <c r="CM22" s="129">
        <f>SUM(CM3:CP21)</f>
        <v>0</v>
      </c>
      <c r="CN22" s="127"/>
      <c r="CO22" s="127"/>
      <c r="CP22" s="112"/>
      <c r="CQ22" s="130">
        <f>SUM(CQ3:CT21)</f>
        <v>600223.36</v>
      </c>
      <c r="CR22" s="83"/>
      <c r="CS22" s="83"/>
      <c r="CT22" s="84"/>
      <c r="CU22" s="130">
        <f>SUM(CU3:CW21)</f>
        <v>3500</v>
      </c>
      <c r="CV22" s="83"/>
      <c r="CW22" s="84"/>
    </row>
    <row r="23" spans="1:101" ht="20.100000000000001" customHeight="1" thickBot="1" x14ac:dyDescent="0.3">
      <c r="C23" s="39">
        <f t="shared" ref="C23:AG23" si="11">COUNTIF(C3:C21, "Ц")</f>
        <v>1</v>
      </c>
      <c r="D23" s="40">
        <f t="shared" si="11"/>
        <v>1</v>
      </c>
      <c r="E23" s="40">
        <f t="shared" si="11"/>
        <v>1</v>
      </c>
      <c r="F23" s="40">
        <f t="shared" si="11"/>
        <v>1</v>
      </c>
      <c r="G23" s="40">
        <f t="shared" si="11"/>
        <v>1</v>
      </c>
      <c r="H23" s="40">
        <f t="shared" si="11"/>
        <v>1</v>
      </c>
      <c r="I23" s="40">
        <f t="shared" si="11"/>
        <v>1</v>
      </c>
      <c r="J23" s="40">
        <f t="shared" si="11"/>
        <v>1</v>
      </c>
      <c r="K23" s="40">
        <f t="shared" si="11"/>
        <v>1</v>
      </c>
      <c r="L23" s="40">
        <f t="shared" si="11"/>
        <v>1</v>
      </c>
      <c r="M23" s="40">
        <f t="shared" si="11"/>
        <v>1</v>
      </c>
      <c r="N23" s="40">
        <f t="shared" si="11"/>
        <v>1</v>
      </c>
      <c r="O23" s="40">
        <f t="shared" si="11"/>
        <v>1</v>
      </c>
      <c r="P23" s="40">
        <f t="shared" si="11"/>
        <v>1</v>
      </c>
      <c r="Q23" s="40">
        <f t="shared" si="11"/>
        <v>1</v>
      </c>
      <c r="R23" s="40">
        <f t="shared" si="11"/>
        <v>1</v>
      </c>
      <c r="S23" s="40">
        <f t="shared" si="11"/>
        <v>1</v>
      </c>
      <c r="T23" s="40">
        <f t="shared" si="11"/>
        <v>1</v>
      </c>
      <c r="U23" s="40">
        <f t="shared" si="11"/>
        <v>1</v>
      </c>
      <c r="V23" s="40">
        <f t="shared" si="11"/>
        <v>1</v>
      </c>
      <c r="W23" s="40">
        <f t="shared" si="11"/>
        <v>1</v>
      </c>
      <c r="X23" s="40">
        <f t="shared" si="11"/>
        <v>1</v>
      </c>
      <c r="Y23" s="40">
        <f t="shared" si="11"/>
        <v>1</v>
      </c>
      <c r="Z23" s="40">
        <f t="shared" si="11"/>
        <v>1</v>
      </c>
      <c r="AA23" s="40">
        <f t="shared" si="11"/>
        <v>1</v>
      </c>
      <c r="AB23" s="40">
        <f t="shared" si="11"/>
        <v>1</v>
      </c>
      <c r="AC23" s="40">
        <f t="shared" si="11"/>
        <v>1</v>
      </c>
      <c r="AD23" s="40">
        <f t="shared" si="11"/>
        <v>1</v>
      </c>
      <c r="AE23" s="40">
        <f t="shared" si="11"/>
        <v>0</v>
      </c>
      <c r="AF23" s="40">
        <f t="shared" si="11"/>
        <v>0</v>
      </c>
      <c r="AG23" s="41">
        <f t="shared" si="11"/>
        <v>0</v>
      </c>
      <c r="AH23" s="123" t="s">
        <v>34</v>
      </c>
      <c r="AI23" s="100"/>
      <c r="AJ23" s="124">
        <f>COUNTIF(C3:AG21, "Ц")+COUNTIF(C3:AG21, "05Ц")/2</f>
        <v>28</v>
      </c>
      <c r="AK23" s="125"/>
      <c r="AL23" s="74"/>
      <c r="AM23" s="74"/>
      <c r="AN23" s="43"/>
      <c r="AO23" s="119" t="s">
        <v>56</v>
      </c>
      <c r="AP23" s="83"/>
      <c r="AQ23" s="90"/>
      <c r="AR23" s="120">
        <f>COUNTA(A3:A20)-AR24</f>
        <v>12</v>
      </c>
      <c r="AS23" s="83"/>
      <c r="AT23" s="84"/>
      <c r="AU23" s="126" t="s">
        <v>57</v>
      </c>
      <c r="AV23" s="83"/>
      <c r="AW23" s="83"/>
      <c r="AX23" s="83"/>
      <c r="AY23" s="127"/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  <c r="BP23" s="127"/>
      <c r="BQ23" s="127"/>
      <c r="BR23" s="127"/>
      <c r="BS23" s="127"/>
      <c r="BT23" s="127"/>
      <c r="BU23" s="127"/>
      <c r="BV23" s="127"/>
      <c r="BW23" s="127"/>
      <c r="BX23" s="127"/>
      <c r="BY23" s="127"/>
      <c r="BZ23" s="127"/>
      <c r="CA23" s="127"/>
      <c r="CB23" s="127"/>
      <c r="CC23" s="127"/>
      <c r="CD23" s="127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4"/>
    </row>
    <row r="24" spans="1:101" ht="18.75" customHeight="1" thickBot="1" x14ac:dyDescent="0.3">
      <c r="C24" s="44">
        <f t="shared" ref="C24:AG24" si="12">COUNTIF(C3:C21, "Ох")</f>
        <v>1</v>
      </c>
      <c r="D24" s="45">
        <f t="shared" si="12"/>
        <v>1</v>
      </c>
      <c r="E24" s="45">
        <f t="shared" si="12"/>
        <v>1</v>
      </c>
      <c r="F24" s="45">
        <f t="shared" si="12"/>
        <v>1</v>
      </c>
      <c r="G24" s="45">
        <f t="shared" si="12"/>
        <v>1</v>
      </c>
      <c r="H24" s="45">
        <f t="shared" si="12"/>
        <v>1</v>
      </c>
      <c r="I24" s="45">
        <f t="shared" si="12"/>
        <v>1</v>
      </c>
      <c r="J24" s="45">
        <f t="shared" si="12"/>
        <v>1</v>
      </c>
      <c r="K24" s="45">
        <f t="shared" si="12"/>
        <v>1</v>
      </c>
      <c r="L24" s="45">
        <f t="shared" si="12"/>
        <v>1</v>
      </c>
      <c r="M24" s="45">
        <f t="shared" si="12"/>
        <v>1</v>
      </c>
      <c r="N24" s="45">
        <f t="shared" si="12"/>
        <v>1</v>
      </c>
      <c r="O24" s="45">
        <f t="shared" si="12"/>
        <v>1</v>
      </c>
      <c r="P24" s="45">
        <f t="shared" si="12"/>
        <v>1</v>
      </c>
      <c r="Q24" s="45">
        <f t="shared" si="12"/>
        <v>1</v>
      </c>
      <c r="R24" s="45">
        <f t="shared" si="12"/>
        <v>1</v>
      </c>
      <c r="S24" s="45">
        <f t="shared" si="12"/>
        <v>1</v>
      </c>
      <c r="T24" s="45">
        <f t="shared" si="12"/>
        <v>1</v>
      </c>
      <c r="U24" s="45">
        <f t="shared" si="12"/>
        <v>1</v>
      </c>
      <c r="V24" s="45">
        <f t="shared" si="12"/>
        <v>1</v>
      </c>
      <c r="W24" s="45">
        <f t="shared" si="12"/>
        <v>1</v>
      </c>
      <c r="X24" s="45">
        <f t="shared" si="12"/>
        <v>1</v>
      </c>
      <c r="Y24" s="45">
        <f t="shared" si="12"/>
        <v>1</v>
      </c>
      <c r="Z24" s="45">
        <f t="shared" si="12"/>
        <v>1</v>
      </c>
      <c r="AA24" s="45">
        <f t="shared" si="12"/>
        <v>1</v>
      </c>
      <c r="AB24" s="45">
        <f t="shared" si="12"/>
        <v>1</v>
      </c>
      <c r="AC24" s="45">
        <f t="shared" si="12"/>
        <v>1</v>
      </c>
      <c r="AD24" s="45">
        <f t="shared" si="12"/>
        <v>1</v>
      </c>
      <c r="AE24" s="45">
        <f t="shared" si="12"/>
        <v>0</v>
      </c>
      <c r="AF24" s="45">
        <f t="shared" si="12"/>
        <v>0</v>
      </c>
      <c r="AG24" s="46">
        <f t="shared" si="12"/>
        <v>0</v>
      </c>
      <c r="AH24" s="118" t="s">
        <v>37</v>
      </c>
      <c r="AI24" s="94"/>
      <c r="AJ24" s="105">
        <f>COUNTIF(C3:AF21, "Ох")+COUNTIF(C3:AG21, "05Ох")/2</f>
        <v>28</v>
      </c>
      <c r="AK24" s="106"/>
      <c r="AL24"/>
      <c r="AM24"/>
      <c r="AN24" s="47"/>
      <c r="AO24" s="119" t="s">
        <v>58</v>
      </c>
      <c r="AP24" s="83"/>
      <c r="AQ24" s="90"/>
      <c r="AR24" s="120">
        <f>COUNTIF(A3:A20, "*С")</f>
        <v>0</v>
      </c>
      <c r="AS24" s="83"/>
      <c r="AT24" s="84"/>
      <c r="AU24" s="121">
        <f>AU22+AY22+BC22+BG22+BK22+BW22+CA22-CI22</f>
        <v>600223.36</v>
      </c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4"/>
    </row>
    <row r="25" spans="1:101" ht="20.100000000000001" customHeight="1" thickBot="1" x14ac:dyDescent="0.3">
      <c r="C25" s="44">
        <f t="shared" ref="C25:AG25" si="13">COUNTIF(C3:C21, "М")</f>
        <v>1</v>
      </c>
      <c r="D25" s="45">
        <f t="shared" si="13"/>
        <v>1</v>
      </c>
      <c r="E25" s="45">
        <f t="shared" si="13"/>
        <v>1</v>
      </c>
      <c r="F25" s="45">
        <f t="shared" si="13"/>
        <v>1</v>
      </c>
      <c r="G25" s="45">
        <f t="shared" si="13"/>
        <v>1</v>
      </c>
      <c r="H25" s="45">
        <f t="shared" si="13"/>
        <v>1</v>
      </c>
      <c r="I25" s="45">
        <f t="shared" si="13"/>
        <v>1</v>
      </c>
      <c r="J25" s="45">
        <f t="shared" si="13"/>
        <v>1</v>
      </c>
      <c r="K25" s="45">
        <f t="shared" si="13"/>
        <v>1</v>
      </c>
      <c r="L25" s="45">
        <f t="shared" si="13"/>
        <v>1</v>
      </c>
      <c r="M25" s="45">
        <f t="shared" si="13"/>
        <v>1</v>
      </c>
      <c r="N25" s="45">
        <f t="shared" si="13"/>
        <v>1</v>
      </c>
      <c r="O25" s="45">
        <f t="shared" si="13"/>
        <v>1</v>
      </c>
      <c r="P25" s="45">
        <f t="shared" si="13"/>
        <v>1</v>
      </c>
      <c r="Q25" s="45">
        <f t="shared" si="13"/>
        <v>1</v>
      </c>
      <c r="R25" s="45">
        <f t="shared" si="13"/>
        <v>1</v>
      </c>
      <c r="S25" s="45">
        <f t="shared" si="13"/>
        <v>1</v>
      </c>
      <c r="T25" s="45">
        <f t="shared" si="13"/>
        <v>1</v>
      </c>
      <c r="U25" s="45">
        <f t="shared" si="13"/>
        <v>1</v>
      </c>
      <c r="V25" s="45">
        <f t="shared" si="13"/>
        <v>1</v>
      </c>
      <c r="W25" s="45">
        <f t="shared" si="13"/>
        <v>1</v>
      </c>
      <c r="X25" s="45">
        <f t="shared" si="13"/>
        <v>1</v>
      </c>
      <c r="Y25" s="45">
        <f t="shared" si="13"/>
        <v>1</v>
      </c>
      <c r="Z25" s="45">
        <f t="shared" si="13"/>
        <v>1</v>
      </c>
      <c r="AA25" s="45">
        <f t="shared" si="13"/>
        <v>1</v>
      </c>
      <c r="AB25" s="45">
        <f t="shared" si="13"/>
        <v>1</v>
      </c>
      <c r="AC25" s="45">
        <f t="shared" si="13"/>
        <v>1</v>
      </c>
      <c r="AD25" s="45">
        <f t="shared" si="13"/>
        <v>1</v>
      </c>
      <c r="AE25" s="45">
        <f t="shared" si="13"/>
        <v>0</v>
      </c>
      <c r="AF25" s="45">
        <f t="shared" si="13"/>
        <v>0</v>
      </c>
      <c r="AG25" s="46">
        <f t="shared" si="13"/>
        <v>0</v>
      </c>
      <c r="AH25" s="122" t="s">
        <v>40</v>
      </c>
      <c r="AI25" s="94"/>
      <c r="AJ25" s="105">
        <f>COUNTIF(C3:AG21, "М")+COUNTIF(C3:AG21, "05М")/2</f>
        <v>28</v>
      </c>
      <c r="AK25" s="106"/>
      <c r="AL25"/>
      <c r="AM25"/>
      <c r="AN25" s="47"/>
      <c r="AO25" s="119" t="s">
        <v>59</v>
      </c>
      <c r="AP25" s="83"/>
      <c r="AQ25" s="90"/>
      <c r="AR25" s="120">
        <f>IF(14-AR23&lt;0, 0, 14-AR23)</f>
        <v>2</v>
      </c>
      <c r="AS25" s="83"/>
      <c r="AT25" s="84"/>
    </row>
    <row r="26" spans="1:101" ht="20.100000000000001" customHeight="1" x14ac:dyDescent="0.25">
      <c r="C26" s="44">
        <f t="shared" ref="C26:AG26" si="14">COUNTIF(C3:C21, "А")</f>
        <v>1</v>
      </c>
      <c r="D26" s="45">
        <f t="shared" si="14"/>
        <v>1</v>
      </c>
      <c r="E26" s="45">
        <f t="shared" si="14"/>
        <v>1</v>
      </c>
      <c r="F26" s="45">
        <f t="shared" si="14"/>
        <v>1</v>
      </c>
      <c r="G26" s="45">
        <f t="shared" si="14"/>
        <v>1</v>
      </c>
      <c r="H26" s="45">
        <f t="shared" si="14"/>
        <v>1</v>
      </c>
      <c r="I26" s="45">
        <f t="shared" si="14"/>
        <v>1</v>
      </c>
      <c r="J26" s="45">
        <f t="shared" si="14"/>
        <v>1</v>
      </c>
      <c r="K26" s="45">
        <f t="shared" si="14"/>
        <v>1</v>
      </c>
      <c r="L26" s="45">
        <f t="shared" si="14"/>
        <v>1</v>
      </c>
      <c r="M26" s="45">
        <f t="shared" si="14"/>
        <v>1</v>
      </c>
      <c r="N26" s="45">
        <f t="shared" si="14"/>
        <v>1</v>
      </c>
      <c r="O26" s="45">
        <f t="shared" si="14"/>
        <v>1</v>
      </c>
      <c r="P26" s="45">
        <f t="shared" si="14"/>
        <v>1</v>
      </c>
      <c r="Q26" s="45">
        <f t="shared" si="14"/>
        <v>1</v>
      </c>
      <c r="R26" s="45">
        <f t="shared" si="14"/>
        <v>1</v>
      </c>
      <c r="S26" s="45">
        <f t="shared" si="14"/>
        <v>1</v>
      </c>
      <c r="T26" s="45">
        <f t="shared" si="14"/>
        <v>1</v>
      </c>
      <c r="U26" s="45">
        <f t="shared" si="14"/>
        <v>1</v>
      </c>
      <c r="V26" s="45">
        <f t="shared" si="14"/>
        <v>1</v>
      </c>
      <c r="W26" s="45">
        <f t="shared" si="14"/>
        <v>1</v>
      </c>
      <c r="X26" s="45">
        <f t="shared" si="14"/>
        <v>1</v>
      </c>
      <c r="Y26" s="45">
        <f t="shared" si="14"/>
        <v>1</v>
      </c>
      <c r="Z26" s="45">
        <f t="shared" si="14"/>
        <v>1</v>
      </c>
      <c r="AA26" s="45">
        <f t="shared" si="14"/>
        <v>1</v>
      </c>
      <c r="AB26" s="45">
        <f t="shared" si="14"/>
        <v>1</v>
      </c>
      <c r="AC26" s="45">
        <f t="shared" si="14"/>
        <v>1</v>
      </c>
      <c r="AD26" s="45">
        <f t="shared" si="14"/>
        <v>1</v>
      </c>
      <c r="AE26" s="45">
        <f t="shared" si="14"/>
        <v>0</v>
      </c>
      <c r="AF26" s="45">
        <f t="shared" si="14"/>
        <v>0</v>
      </c>
      <c r="AG26" s="46">
        <f t="shared" si="14"/>
        <v>0</v>
      </c>
      <c r="AH26" s="114" t="s">
        <v>44</v>
      </c>
      <c r="AI26" s="94"/>
      <c r="AJ26" s="105">
        <f>COUNTIF(C3:AG21, "А")+COUNTIF(C3:AG21, "05А")/2</f>
        <v>28</v>
      </c>
      <c r="AK26" s="106"/>
      <c r="AL26"/>
      <c r="AM26"/>
      <c r="AN26" s="47"/>
      <c r="AO26" s="115"/>
      <c r="AP26" s="115"/>
      <c r="AQ26" s="115"/>
      <c r="AR26" s="115"/>
      <c r="AS26" s="115"/>
      <c r="AT26" s="116"/>
      <c r="AU26" s="116"/>
      <c r="AV26" s="116"/>
      <c r="AW26" s="116"/>
      <c r="AX26" s="116"/>
    </row>
    <row r="27" spans="1:101" ht="20.100000000000001" customHeight="1" x14ac:dyDescent="0.25">
      <c r="C27" s="44">
        <f t="shared" ref="C27:AG27" si="15">COUNTIF(C3:C21, "Оз")</f>
        <v>1</v>
      </c>
      <c r="D27" s="45">
        <f t="shared" si="15"/>
        <v>1</v>
      </c>
      <c r="E27" s="45">
        <f t="shared" si="15"/>
        <v>1</v>
      </c>
      <c r="F27" s="45">
        <f t="shared" si="15"/>
        <v>1</v>
      </c>
      <c r="G27" s="45">
        <f t="shared" si="15"/>
        <v>1</v>
      </c>
      <c r="H27" s="45">
        <f t="shared" si="15"/>
        <v>1</v>
      </c>
      <c r="I27" s="45">
        <f t="shared" si="15"/>
        <v>1</v>
      </c>
      <c r="J27" s="45">
        <f t="shared" si="15"/>
        <v>1</v>
      </c>
      <c r="K27" s="45">
        <f t="shared" si="15"/>
        <v>1</v>
      </c>
      <c r="L27" s="45">
        <f t="shared" si="15"/>
        <v>1</v>
      </c>
      <c r="M27" s="45">
        <f t="shared" si="15"/>
        <v>1</v>
      </c>
      <c r="N27" s="45">
        <f t="shared" si="15"/>
        <v>1</v>
      </c>
      <c r="O27" s="45">
        <f t="shared" si="15"/>
        <v>1</v>
      </c>
      <c r="P27" s="45">
        <f t="shared" si="15"/>
        <v>1</v>
      </c>
      <c r="Q27" s="45">
        <f t="shared" si="15"/>
        <v>1</v>
      </c>
      <c r="R27" s="45">
        <f t="shared" si="15"/>
        <v>1</v>
      </c>
      <c r="S27" s="45">
        <f t="shared" si="15"/>
        <v>1</v>
      </c>
      <c r="T27" s="45">
        <f t="shared" si="15"/>
        <v>1</v>
      </c>
      <c r="U27" s="45">
        <f t="shared" si="15"/>
        <v>1</v>
      </c>
      <c r="V27" s="45">
        <f t="shared" si="15"/>
        <v>1</v>
      </c>
      <c r="W27" s="45">
        <f t="shared" si="15"/>
        <v>1</v>
      </c>
      <c r="X27" s="45">
        <f t="shared" si="15"/>
        <v>1</v>
      </c>
      <c r="Y27" s="45">
        <f t="shared" si="15"/>
        <v>1</v>
      </c>
      <c r="Z27" s="45">
        <f t="shared" si="15"/>
        <v>1</v>
      </c>
      <c r="AA27" s="45">
        <f t="shared" si="15"/>
        <v>1</v>
      </c>
      <c r="AB27" s="45">
        <f t="shared" si="15"/>
        <v>1</v>
      </c>
      <c r="AC27" s="45">
        <f t="shared" si="15"/>
        <v>1</v>
      </c>
      <c r="AD27" s="45">
        <f t="shared" si="15"/>
        <v>1</v>
      </c>
      <c r="AE27" s="45">
        <f t="shared" si="15"/>
        <v>0</v>
      </c>
      <c r="AF27" s="45">
        <f t="shared" si="15"/>
        <v>0</v>
      </c>
      <c r="AG27" s="46">
        <f t="shared" si="15"/>
        <v>0</v>
      </c>
      <c r="AH27" s="117" t="s">
        <v>49</v>
      </c>
      <c r="AI27" s="94"/>
      <c r="AJ27" s="105">
        <f>COUNTIF(C3:AG21, "Оз")+COUNTIF(C3:AG21, "05Оз")/2</f>
        <v>28</v>
      </c>
      <c r="AK27" s="106"/>
      <c r="AL27"/>
      <c r="AM27"/>
      <c r="AN27" s="47"/>
      <c r="AO27" s="115"/>
      <c r="AP27" s="115"/>
      <c r="AQ27" s="115"/>
      <c r="AR27" s="115"/>
      <c r="AS27" s="115"/>
      <c r="AT27" s="116"/>
      <c r="AU27" s="116"/>
      <c r="AV27" s="116"/>
      <c r="AW27" s="116"/>
      <c r="AX27" s="116"/>
    </row>
    <row r="28" spans="1:101" ht="20.100000000000001" customHeight="1" thickBot="1" x14ac:dyDescent="0.3">
      <c r="C28" s="44">
        <f t="shared" ref="C28:AG28" si="16">COUNTIF(C3:C21, "П")</f>
        <v>1</v>
      </c>
      <c r="D28" s="45">
        <f t="shared" si="16"/>
        <v>1</v>
      </c>
      <c r="E28" s="45">
        <f t="shared" si="16"/>
        <v>1</v>
      </c>
      <c r="F28" s="45">
        <f t="shared" si="16"/>
        <v>1</v>
      </c>
      <c r="G28" s="45">
        <f t="shared" si="16"/>
        <v>1</v>
      </c>
      <c r="H28" s="45">
        <f t="shared" si="16"/>
        <v>1</v>
      </c>
      <c r="I28" s="45">
        <f t="shared" si="16"/>
        <v>1</v>
      </c>
      <c r="J28" s="45">
        <f t="shared" si="16"/>
        <v>1</v>
      </c>
      <c r="K28" s="45">
        <f t="shared" si="16"/>
        <v>1</v>
      </c>
      <c r="L28" s="45">
        <f t="shared" si="16"/>
        <v>1</v>
      </c>
      <c r="M28" s="45">
        <f t="shared" si="16"/>
        <v>1</v>
      </c>
      <c r="N28" s="45">
        <f t="shared" si="16"/>
        <v>1</v>
      </c>
      <c r="O28" s="45">
        <f t="shared" si="16"/>
        <v>1</v>
      </c>
      <c r="P28" s="45">
        <f t="shared" si="16"/>
        <v>1</v>
      </c>
      <c r="Q28" s="45">
        <f t="shared" si="16"/>
        <v>1</v>
      </c>
      <c r="R28" s="45">
        <f t="shared" si="16"/>
        <v>1</v>
      </c>
      <c r="S28" s="45">
        <f t="shared" si="16"/>
        <v>1</v>
      </c>
      <c r="T28" s="45">
        <f t="shared" si="16"/>
        <v>1</v>
      </c>
      <c r="U28" s="45">
        <f t="shared" si="16"/>
        <v>1</v>
      </c>
      <c r="V28" s="45">
        <f t="shared" si="16"/>
        <v>1</v>
      </c>
      <c r="W28" s="45">
        <f t="shared" si="16"/>
        <v>1</v>
      </c>
      <c r="X28" s="45">
        <f t="shared" si="16"/>
        <v>1</v>
      </c>
      <c r="Y28" s="45">
        <f t="shared" si="16"/>
        <v>1</v>
      </c>
      <c r="Z28" s="45">
        <f t="shared" si="16"/>
        <v>1</v>
      </c>
      <c r="AA28" s="45">
        <f t="shared" si="16"/>
        <v>1</v>
      </c>
      <c r="AB28" s="45">
        <f t="shared" si="16"/>
        <v>1</v>
      </c>
      <c r="AC28" s="45">
        <f t="shared" si="16"/>
        <v>1</v>
      </c>
      <c r="AD28" s="45">
        <f t="shared" si="16"/>
        <v>1</v>
      </c>
      <c r="AE28" s="45">
        <f t="shared" si="16"/>
        <v>0</v>
      </c>
      <c r="AF28" s="45">
        <f t="shared" si="16"/>
        <v>0</v>
      </c>
      <c r="AG28" s="46">
        <f t="shared" si="16"/>
        <v>0</v>
      </c>
      <c r="AH28" s="104" t="s">
        <v>42</v>
      </c>
      <c r="AI28" s="94"/>
      <c r="AJ28" s="105">
        <f>COUNTIF(C3:AG21, "П")+COUNTIF(C3:AG21, "05П")/2</f>
        <v>28</v>
      </c>
      <c r="AK28" s="106"/>
      <c r="AL28"/>
      <c r="AM28"/>
      <c r="AN28" s="47"/>
    </row>
    <row r="29" spans="1:101" ht="20.25" hidden="1" customHeight="1" x14ac:dyDescent="0.25">
      <c r="C29" s="48">
        <f t="shared" ref="C29:AG29" si="17">COUNTIF(C3:C21, "Р")</f>
        <v>0</v>
      </c>
      <c r="D29" s="49">
        <f t="shared" si="17"/>
        <v>0</v>
      </c>
      <c r="E29" s="49">
        <f t="shared" si="17"/>
        <v>0</v>
      </c>
      <c r="F29" s="49">
        <f t="shared" si="17"/>
        <v>0</v>
      </c>
      <c r="G29" s="49">
        <f t="shared" si="17"/>
        <v>0</v>
      </c>
      <c r="H29" s="49">
        <f t="shared" si="17"/>
        <v>0</v>
      </c>
      <c r="I29" s="49">
        <f t="shared" si="17"/>
        <v>0</v>
      </c>
      <c r="J29" s="49">
        <f t="shared" si="17"/>
        <v>0</v>
      </c>
      <c r="K29" s="49">
        <f t="shared" si="17"/>
        <v>0</v>
      </c>
      <c r="L29" s="49">
        <f t="shared" si="17"/>
        <v>0</v>
      </c>
      <c r="M29" s="49">
        <f t="shared" si="17"/>
        <v>0</v>
      </c>
      <c r="N29" s="49">
        <f t="shared" si="17"/>
        <v>0</v>
      </c>
      <c r="O29" s="49">
        <f t="shared" si="17"/>
        <v>0</v>
      </c>
      <c r="P29" s="49">
        <f t="shared" si="17"/>
        <v>0</v>
      </c>
      <c r="Q29" s="49">
        <f t="shared" si="17"/>
        <v>0</v>
      </c>
      <c r="R29" s="49">
        <f t="shared" si="17"/>
        <v>0</v>
      </c>
      <c r="S29" s="49">
        <f t="shared" si="17"/>
        <v>0</v>
      </c>
      <c r="T29" s="49">
        <f t="shared" si="17"/>
        <v>0</v>
      </c>
      <c r="U29" s="49">
        <f t="shared" si="17"/>
        <v>0</v>
      </c>
      <c r="V29" s="49">
        <f t="shared" si="17"/>
        <v>0</v>
      </c>
      <c r="W29" s="49">
        <f t="shared" si="17"/>
        <v>0</v>
      </c>
      <c r="X29" s="49">
        <f t="shared" si="17"/>
        <v>0</v>
      </c>
      <c r="Y29" s="49">
        <f t="shared" si="17"/>
        <v>0</v>
      </c>
      <c r="Z29" s="49">
        <f t="shared" si="17"/>
        <v>0</v>
      </c>
      <c r="AA29" s="49">
        <f t="shared" si="17"/>
        <v>0</v>
      </c>
      <c r="AB29" s="49">
        <f t="shared" si="17"/>
        <v>0</v>
      </c>
      <c r="AC29" s="49">
        <f t="shared" si="17"/>
        <v>0</v>
      </c>
      <c r="AD29" s="49">
        <f t="shared" si="17"/>
        <v>0</v>
      </c>
      <c r="AE29" s="49">
        <f t="shared" si="17"/>
        <v>0</v>
      </c>
      <c r="AF29" s="49">
        <f t="shared" si="17"/>
        <v>0</v>
      </c>
      <c r="AG29" s="50">
        <f t="shared" si="17"/>
        <v>0</v>
      </c>
      <c r="AH29" s="107" t="s">
        <v>15</v>
      </c>
      <c r="AI29" s="108"/>
      <c r="AJ29" s="109">
        <f>COUNTIF(C3:AG21, "Р")+COUNTIF(C3:AG21, "05Р")/2</f>
        <v>0</v>
      </c>
      <c r="AK29" s="110"/>
      <c r="AL29"/>
      <c r="AM29"/>
      <c r="AN29" s="47"/>
    </row>
    <row r="30" spans="1:101" ht="20.100000000000001" customHeight="1" thickBot="1" x14ac:dyDescent="0.3">
      <c r="C30" s="51">
        <f t="shared" ref="C30:AG30" si="18">SUM(C23:C29)</f>
        <v>6</v>
      </c>
      <c r="D30" s="51">
        <f t="shared" si="18"/>
        <v>6</v>
      </c>
      <c r="E30" s="51">
        <f t="shared" si="18"/>
        <v>6</v>
      </c>
      <c r="F30" s="51">
        <f t="shared" si="18"/>
        <v>6</v>
      </c>
      <c r="G30" s="51">
        <f t="shared" si="18"/>
        <v>6</v>
      </c>
      <c r="H30" s="51">
        <f t="shared" si="18"/>
        <v>6</v>
      </c>
      <c r="I30" s="51">
        <f t="shared" si="18"/>
        <v>6</v>
      </c>
      <c r="J30" s="51">
        <f t="shared" si="18"/>
        <v>6</v>
      </c>
      <c r="K30" s="51">
        <f t="shared" si="18"/>
        <v>6</v>
      </c>
      <c r="L30" s="51">
        <f t="shared" si="18"/>
        <v>6</v>
      </c>
      <c r="M30" s="51">
        <f t="shared" si="18"/>
        <v>6</v>
      </c>
      <c r="N30" s="51">
        <f t="shared" si="18"/>
        <v>6</v>
      </c>
      <c r="O30" s="51">
        <f t="shared" si="18"/>
        <v>6</v>
      </c>
      <c r="P30" s="51">
        <f t="shared" si="18"/>
        <v>6</v>
      </c>
      <c r="Q30" s="51">
        <f t="shared" si="18"/>
        <v>6</v>
      </c>
      <c r="R30" s="51">
        <f t="shared" si="18"/>
        <v>6</v>
      </c>
      <c r="S30" s="51">
        <f t="shared" si="18"/>
        <v>6</v>
      </c>
      <c r="T30" s="51">
        <f t="shared" si="18"/>
        <v>6</v>
      </c>
      <c r="U30" s="51">
        <f t="shared" si="18"/>
        <v>6</v>
      </c>
      <c r="V30" s="51">
        <f t="shared" si="18"/>
        <v>6</v>
      </c>
      <c r="W30" s="51">
        <f t="shared" si="18"/>
        <v>6</v>
      </c>
      <c r="X30" s="51">
        <f t="shared" si="18"/>
        <v>6</v>
      </c>
      <c r="Y30" s="51">
        <f t="shared" si="18"/>
        <v>6</v>
      </c>
      <c r="Z30" s="51">
        <f t="shared" si="18"/>
        <v>6</v>
      </c>
      <c r="AA30" s="51">
        <f t="shared" si="18"/>
        <v>6</v>
      </c>
      <c r="AB30" s="51">
        <f t="shared" si="18"/>
        <v>6</v>
      </c>
      <c r="AC30" s="51">
        <f t="shared" si="18"/>
        <v>6</v>
      </c>
      <c r="AD30" s="51">
        <f t="shared" si="18"/>
        <v>6</v>
      </c>
      <c r="AE30" s="51">
        <f t="shared" si="18"/>
        <v>0</v>
      </c>
      <c r="AF30" s="51">
        <f t="shared" si="18"/>
        <v>0</v>
      </c>
      <c r="AG30" s="52">
        <f t="shared" si="18"/>
        <v>0</v>
      </c>
      <c r="AH30" s="111" t="s">
        <v>30</v>
      </c>
      <c r="AI30" s="112"/>
      <c r="AJ30" s="113">
        <f>SUM(AJ23:AJ29)</f>
        <v>168</v>
      </c>
      <c r="AK30" s="84"/>
      <c r="AL30"/>
      <c r="AM30"/>
      <c r="AN30" s="75"/>
    </row>
    <row r="31" spans="1:101" ht="18" customHeight="1" thickBot="1" x14ac:dyDescent="0.3">
      <c r="AN31" s="75"/>
    </row>
    <row r="32" spans="1:101" ht="20.100000000000001" customHeight="1" thickBot="1" x14ac:dyDescent="0.3">
      <c r="C32" s="102" t="s">
        <v>60</v>
      </c>
      <c r="D32" s="83"/>
      <c r="E32" s="83"/>
      <c r="F32" s="83"/>
      <c r="G32" s="83"/>
      <c r="H32" s="83"/>
      <c r="I32" s="90"/>
      <c r="J32" s="102" t="s">
        <v>61</v>
      </c>
      <c r="K32" s="83"/>
      <c r="L32" s="83"/>
      <c r="M32" s="83"/>
      <c r="N32" s="83"/>
      <c r="O32" s="83"/>
      <c r="P32" s="90"/>
      <c r="Q32" s="102" t="s">
        <v>28</v>
      </c>
      <c r="R32" s="83"/>
      <c r="S32" s="83"/>
      <c r="T32" s="83"/>
      <c r="U32" s="83"/>
      <c r="V32" s="83"/>
      <c r="W32" s="90"/>
      <c r="X32" s="103" t="s">
        <v>62</v>
      </c>
      <c r="Y32" s="83"/>
      <c r="Z32" s="83"/>
      <c r="AA32" s="83"/>
      <c r="AB32" s="83"/>
      <c r="AC32" s="83"/>
      <c r="AD32" s="90"/>
      <c r="AE32" s="82" t="s">
        <v>63</v>
      </c>
      <c r="AF32" s="83"/>
      <c r="AG32" s="83"/>
      <c r="AH32" s="83"/>
      <c r="AI32" s="83"/>
      <c r="AJ32" s="83"/>
      <c r="AK32" s="84"/>
      <c r="AL32" s="82" t="s">
        <v>64</v>
      </c>
      <c r="AM32" s="83"/>
      <c r="AN32" s="83"/>
      <c r="AO32" s="83"/>
      <c r="AP32" s="83"/>
      <c r="AQ32" s="83"/>
      <c r="AR32" s="84"/>
      <c r="AZ32" s="98" t="s">
        <v>28</v>
      </c>
      <c r="BA32" s="99"/>
      <c r="BB32" s="99"/>
      <c r="BC32" s="99"/>
      <c r="BD32" s="99"/>
      <c r="BE32" s="100"/>
      <c r="BF32" s="101"/>
      <c r="BG32" s="99"/>
      <c r="BH32" s="100"/>
    </row>
    <row r="33" spans="3:60" ht="20.100000000000001" customHeight="1" x14ac:dyDescent="0.25">
      <c r="C33" s="53" t="str">
        <f t="shared" ref="C33:I33" si="19">IF(COUNTIF(C$3:C$21, "*М*")=0, C1, "")</f>
        <v/>
      </c>
      <c r="D33" s="54" t="str">
        <f t="shared" si="19"/>
        <v/>
      </c>
      <c r="E33" s="54" t="str">
        <f t="shared" si="19"/>
        <v/>
      </c>
      <c r="F33" s="54" t="str">
        <f t="shared" si="19"/>
        <v/>
      </c>
      <c r="G33" s="54" t="str">
        <f t="shared" si="19"/>
        <v/>
      </c>
      <c r="H33" s="54" t="str">
        <f t="shared" si="19"/>
        <v/>
      </c>
      <c r="I33" s="55" t="str">
        <f t="shared" si="19"/>
        <v/>
      </c>
      <c r="J33" s="53" t="str">
        <f t="shared" ref="J33:P33" si="20">IF(COUNTIF(C3:C21, "*Оз*")=0, C1, "")</f>
        <v/>
      </c>
      <c r="K33" s="54" t="str">
        <f t="shared" si="20"/>
        <v/>
      </c>
      <c r="L33" s="54" t="str">
        <f t="shared" si="20"/>
        <v/>
      </c>
      <c r="M33" s="54" t="str">
        <f t="shared" si="20"/>
        <v/>
      </c>
      <c r="N33" s="54" t="str">
        <f t="shared" si="20"/>
        <v/>
      </c>
      <c r="O33" s="54" t="str">
        <f t="shared" si="20"/>
        <v/>
      </c>
      <c r="P33" s="55" t="str">
        <f t="shared" si="20"/>
        <v/>
      </c>
      <c r="Q33" s="53" t="str">
        <f t="shared" ref="Q33:W33" si="21">IF(COUNTIF(C3:C21, "Ц")=0, C1, "")</f>
        <v/>
      </c>
      <c r="R33" s="54" t="str">
        <f t="shared" si="21"/>
        <v/>
      </c>
      <c r="S33" s="54" t="str">
        <f t="shared" si="21"/>
        <v/>
      </c>
      <c r="T33" s="54" t="str">
        <f t="shared" si="21"/>
        <v/>
      </c>
      <c r="U33" s="54" t="str">
        <f t="shared" si="21"/>
        <v/>
      </c>
      <c r="V33" s="54" t="str">
        <f t="shared" si="21"/>
        <v/>
      </c>
      <c r="W33" s="55" t="str">
        <f t="shared" si="21"/>
        <v/>
      </c>
      <c r="X33" s="53" t="str">
        <f t="shared" ref="X33:AD33" si="22">IF(COUNTIF(C3:C21, "*А*")=0, C1, "")</f>
        <v/>
      </c>
      <c r="Y33" s="54" t="str">
        <f t="shared" si="22"/>
        <v/>
      </c>
      <c r="Z33" s="54" t="str">
        <f t="shared" si="22"/>
        <v/>
      </c>
      <c r="AA33" s="54" t="str">
        <f t="shared" si="22"/>
        <v/>
      </c>
      <c r="AB33" s="54" t="str">
        <f t="shared" si="22"/>
        <v/>
      </c>
      <c r="AC33" s="54" t="str">
        <f t="shared" si="22"/>
        <v/>
      </c>
      <c r="AD33" s="55" t="str">
        <f t="shared" si="22"/>
        <v/>
      </c>
      <c r="AE33" s="53" t="str">
        <f t="shared" ref="AE33:AK33" si="23">IF(COUNTIF(C$3:C$21, "*Ох*")=0, C1, "")</f>
        <v/>
      </c>
      <c r="AF33" s="54" t="str">
        <f t="shared" si="23"/>
        <v/>
      </c>
      <c r="AG33" s="54" t="str">
        <f t="shared" si="23"/>
        <v/>
      </c>
      <c r="AH33" s="54" t="str">
        <f t="shared" si="23"/>
        <v/>
      </c>
      <c r="AI33" s="54" t="str">
        <f t="shared" si="23"/>
        <v/>
      </c>
      <c r="AJ33" s="54" t="str">
        <f t="shared" si="23"/>
        <v/>
      </c>
      <c r="AK33" s="55" t="str">
        <f t="shared" si="23"/>
        <v/>
      </c>
      <c r="AL33" s="53" t="str">
        <f t="shared" ref="AL33:AR33" si="24">IF(COUNTIF(C$3:C$21, "*П*")=0, C1, "")</f>
        <v/>
      </c>
      <c r="AM33" s="54" t="str">
        <f t="shared" si="24"/>
        <v/>
      </c>
      <c r="AN33" s="54" t="str">
        <f t="shared" si="24"/>
        <v/>
      </c>
      <c r="AO33" s="54" t="str">
        <f t="shared" si="24"/>
        <v/>
      </c>
      <c r="AP33" s="54" t="str">
        <f t="shared" si="24"/>
        <v/>
      </c>
      <c r="AQ33" s="54" t="str">
        <f t="shared" si="24"/>
        <v/>
      </c>
      <c r="AR33" s="55" t="str">
        <f t="shared" si="24"/>
        <v/>
      </c>
      <c r="AZ33" s="92" t="s">
        <v>65</v>
      </c>
      <c r="BA33" s="93"/>
      <c r="BB33" s="93"/>
      <c r="BC33" s="93"/>
      <c r="BD33" s="93"/>
      <c r="BE33" s="94"/>
      <c r="BF33" s="95"/>
      <c r="BG33" s="93"/>
      <c r="BH33" s="94"/>
    </row>
    <row r="34" spans="3:60" ht="20.100000000000001" customHeight="1" x14ac:dyDescent="0.25">
      <c r="C34" s="56" t="str">
        <f t="shared" ref="C34:I34" si="25">IF(COUNTIF(J$3:J$21, "*М*")=0, J$1, "")</f>
        <v/>
      </c>
      <c r="D34" s="57" t="str">
        <f t="shared" si="25"/>
        <v/>
      </c>
      <c r="E34" s="57" t="str">
        <f t="shared" si="25"/>
        <v/>
      </c>
      <c r="F34" s="57" t="str">
        <f t="shared" si="25"/>
        <v/>
      </c>
      <c r="G34" s="57" t="str">
        <f t="shared" si="25"/>
        <v/>
      </c>
      <c r="H34" s="57" t="str">
        <f t="shared" si="25"/>
        <v/>
      </c>
      <c r="I34" s="58" t="str">
        <f t="shared" si="25"/>
        <v/>
      </c>
      <c r="J34" s="56" t="str">
        <f t="shared" ref="J34:P34" si="26">IF(COUNTIF(J3:J21, "*Оз*")=0, J1, "")</f>
        <v/>
      </c>
      <c r="K34" s="57" t="str">
        <f t="shared" si="26"/>
        <v/>
      </c>
      <c r="L34" s="57" t="str">
        <f t="shared" si="26"/>
        <v/>
      </c>
      <c r="M34" s="57" t="str">
        <f t="shared" si="26"/>
        <v/>
      </c>
      <c r="N34" s="57" t="str">
        <f t="shared" si="26"/>
        <v/>
      </c>
      <c r="O34" s="57" t="str">
        <f t="shared" si="26"/>
        <v/>
      </c>
      <c r="P34" s="58" t="str">
        <f t="shared" si="26"/>
        <v/>
      </c>
      <c r="Q34" s="56" t="str">
        <f t="shared" ref="Q34:W34" si="27">IF(COUNTIF(J3:J21, "Ц")=0, J1, "")</f>
        <v/>
      </c>
      <c r="R34" s="57" t="str">
        <f t="shared" si="27"/>
        <v/>
      </c>
      <c r="S34" s="57" t="str">
        <f t="shared" si="27"/>
        <v/>
      </c>
      <c r="T34" s="57" t="str">
        <f t="shared" si="27"/>
        <v/>
      </c>
      <c r="U34" s="57" t="str">
        <f t="shared" si="27"/>
        <v/>
      </c>
      <c r="V34" s="57" t="str">
        <f t="shared" si="27"/>
        <v/>
      </c>
      <c r="W34" s="58" t="str">
        <f t="shared" si="27"/>
        <v/>
      </c>
      <c r="X34" s="56" t="str">
        <f t="shared" ref="X34:AD34" si="28">IF(COUNTIF(J3:J21, "*А*")=0, J1, "")</f>
        <v/>
      </c>
      <c r="Y34" s="57" t="str">
        <f t="shared" si="28"/>
        <v/>
      </c>
      <c r="Z34" s="57" t="str">
        <f t="shared" si="28"/>
        <v/>
      </c>
      <c r="AA34" s="57" t="str">
        <f t="shared" si="28"/>
        <v/>
      </c>
      <c r="AB34" s="57" t="str">
        <f t="shared" si="28"/>
        <v/>
      </c>
      <c r="AC34" s="57" t="str">
        <f t="shared" si="28"/>
        <v/>
      </c>
      <c r="AD34" s="58" t="str">
        <f t="shared" si="28"/>
        <v/>
      </c>
      <c r="AE34" s="56" t="str">
        <f t="shared" ref="AE34:AK34" si="29">IF(COUNTIF(J$3:J$21, "*Ох*")=0, J$1, "")</f>
        <v/>
      </c>
      <c r="AF34" s="57" t="str">
        <f t="shared" si="29"/>
        <v/>
      </c>
      <c r="AG34" s="57" t="str">
        <f t="shared" si="29"/>
        <v/>
      </c>
      <c r="AH34" s="57" t="str">
        <f t="shared" si="29"/>
        <v/>
      </c>
      <c r="AI34" s="57" t="str">
        <f t="shared" si="29"/>
        <v/>
      </c>
      <c r="AJ34" s="57" t="str">
        <f t="shared" si="29"/>
        <v/>
      </c>
      <c r="AK34" s="58" t="str">
        <f t="shared" si="29"/>
        <v/>
      </c>
      <c r="AL34" s="56" t="str">
        <f t="shared" ref="AL34:AR34" si="30">IF(COUNTIF(J$3:J$21, "*П*")=0, J$1, "")</f>
        <v/>
      </c>
      <c r="AM34" s="57" t="str">
        <f t="shared" si="30"/>
        <v/>
      </c>
      <c r="AN34" s="57" t="str">
        <f t="shared" si="30"/>
        <v/>
      </c>
      <c r="AO34" s="57" t="str">
        <f t="shared" si="30"/>
        <v/>
      </c>
      <c r="AP34" s="57" t="str">
        <f t="shared" si="30"/>
        <v/>
      </c>
      <c r="AQ34" s="57" t="str">
        <f t="shared" si="30"/>
        <v/>
      </c>
      <c r="AR34" s="58" t="str">
        <f t="shared" si="30"/>
        <v/>
      </c>
      <c r="AZ34" s="96" t="s">
        <v>60</v>
      </c>
      <c r="BA34" s="93"/>
      <c r="BB34" s="93"/>
      <c r="BC34" s="93"/>
      <c r="BD34" s="93"/>
      <c r="BE34" s="94"/>
      <c r="BF34" s="97"/>
      <c r="BG34" s="93"/>
      <c r="BH34" s="94"/>
    </row>
    <row r="35" spans="3:60" x14ac:dyDescent="0.25">
      <c r="C35" s="56" t="str">
        <f t="shared" ref="C35:I35" si="31">IF(COUNTIF(Q3:Q21, "*М*")=0, Q$1, "")</f>
        <v/>
      </c>
      <c r="D35" s="57" t="str">
        <f t="shared" si="31"/>
        <v/>
      </c>
      <c r="E35" s="57" t="str">
        <f t="shared" si="31"/>
        <v/>
      </c>
      <c r="F35" s="57" t="str">
        <f t="shared" si="31"/>
        <v/>
      </c>
      <c r="G35" s="57" t="str">
        <f t="shared" si="31"/>
        <v/>
      </c>
      <c r="H35" s="57" t="str">
        <f t="shared" si="31"/>
        <v/>
      </c>
      <c r="I35" s="58" t="str">
        <f t="shared" si="31"/>
        <v/>
      </c>
      <c r="J35" s="56" t="str">
        <f t="shared" ref="J35:P35" si="32">IF(COUNTIF(Q3:Q21, "*Оз*")=0, Q1, "")</f>
        <v/>
      </c>
      <c r="K35" s="57" t="str">
        <f t="shared" si="32"/>
        <v/>
      </c>
      <c r="L35" s="57" t="str">
        <f t="shared" si="32"/>
        <v/>
      </c>
      <c r="M35" s="57" t="str">
        <f t="shared" si="32"/>
        <v/>
      </c>
      <c r="N35" s="57" t="str">
        <f t="shared" si="32"/>
        <v/>
      </c>
      <c r="O35" s="57" t="str">
        <f t="shared" si="32"/>
        <v/>
      </c>
      <c r="P35" s="58" t="str">
        <f t="shared" si="32"/>
        <v/>
      </c>
      <c r="Q35" s="56" t="str">
        <f t="shared" ref="Q35:W35" si="33">IF(COUNTIF(Q3:Q21, "Ц")=0, Q1, "")</f>
        <v/>
      </c>
      <c r="R35" s="57" t="str">
        <f t="shared" si="33"/>
        <v/>
      </c>
      <c r="S35" s="57" t="str">
        <f t="shared" si="33"/>
        <v/>
      </c>
      <c r="T35" s="57" t="str">
        <f t="shared" si="33"/>
        <v/>
      </c>
      <c r="U35" s="57" t="str">
        <f t="shared" si="33"/>
        <v/>
      </c>
      <c r="V35" s="57" t="str">
        <f t="shared" si="33"/>
        <v/>
      </c>
      <c r="W35" s="58" t="str">
        <f t="shared" si="33"/>
        <v/>
      </c>
      <c r="X35" s="56" t="str">
        <f t="shared" ref="X35:AD35" si="34">IF(COUNTIF(Q3:Q21, "*А*")=0, Q1, "")</f>
        <v/>
      </c>
      <c r="Y35" s="57" t="str">
        <f t="shared" si="34"/>
        <v/>
      </c>
      <c r="Z35" s="57" t="str">
        <f t="shared" si="34"/>
        <v/>
      </c>
      <c r="AA35" s="57" t="str">
        <f t="shared" si="34"/>
        <v/>
      </c>
      <c r="AB35" s="57" t="str">
        <f t="shared" si="34"/>
        <v/>
      </c>
      <c r="AC35" s="57" t="str">
        <f t="shared" si="34"/>
        <v/>
      </c>
      <c r="AD35" s="58" t="str">
        <f t="shared" si="34"/>
        <v/>
      </c>
      <c r="AE35" s="56" t="str">
        <f t="shared" ref="AE35:AK35" si="35">IF(COUNTIF(Q$3:Q$21, "*Ох*")=0, Q$1, "")</f>
        <v/>
      </c>
      <c r="AF35" s="57" t="str">
        <f t="shared" si="35"/>
        <v/>
      </c>
      <c r="AG35" s="57" t="str">
        <f t="shared" si="35"/>
        <v/>
      </c>
      <c r="AH35" s="57" t="str">
        <f t="shared" si="35"/>
        <v/>
      </c>
      <c r="AI35" s="57" t="str">
        <f t="shared" si="35"/>
        <v/>
      </c>
      <c r="AJ35" s="57" t="str">
        <f t="shared" si="35"/>
        <v/>
      </c>
      <c r="AK35" s="58" t="str">
        <f t="shared" si="35"/>
        <v/>
      </c>
      <c r="AL35" s="56" t="str">
        <f t="shared" ref="AL35:AR35" si="36">IF(COUNTIF(Q$3:Q$21, "*П*")=0, Q$1, "")</f>
        <v/>
      </c>
      <c r="AM35" s="57" t="str">
        <f t="shared" si="36"/>
        <v/>
      </c>
      <c r="AN35" s="57" t="str">
        <f t="shared" si="36"/>
        <v/>
      </c>
      <c r="AO35" s="57" t="str">
        <f t="shared" si="36"/>
        <v/>
      </c>
      <c r="AP35" s="57" t="str">
        <f t="shared" si="36"/>
        <v/>
      </c>
      <c r="AQ35" s="57" t="str">
        <f t="shared" si="36"/>
        <v/>
      </c>
      <c r="AR35" s="58" t="str">
        <f t="shared" si="36"/>
        <v/>
      </c>
      <c r="AZ35" s="92" t="s">
        <v>66</v>
      </c>
      <c r="BA35" s="93"/>
      <c r="BB35" s="93"/>
      <c r="BC35" s="93"/>
      <c r="BD35" s="93"/>
      <c r="BE35" s="94"/>
      <c r="BF35" s="95"/>
      <c r="BG35" s="93"/>
      <c r="BH35" s="94"/>
    </row>
    <row r="36" spans="3:60" x14ac:dyDescent="0.25">
      <c r="C36" s="56" t="str">
        <f t="shared" ref="C36:I36" si="37">IF(COUNTIF(X$3:X$21, "*М*")=0, X$1, "")</f>
        <v/>
      </c>
      <c r="D36" s="57" t="str">
        <f t="shared" si="37"/>
        <v/>
      </c>
      <c r="E36" s="57" t="str">
        <f t="shared" si="37"/>
        <v/>
      </c>
      <c r="F36" s="57" t="str">
        <f t="shared" si="37"/>
        <v/>
      </c>
      <c r="G36" s="57" t="str">
        <f t="shared" si="37"/>
        <v/>
      </c>
      <c r="H36" s="57" t="str">
        <f t="shared" si="37"/>
        <v/>
      </c>
      <c r="I36" s="58" t="str">
        <f t="shared" si="37"/>
        <v/>
      </c>
      <c r="J36" s="56" t="str">
        <f t="shared" ref="J36:P36" si="38">IF(COUNTIF(X3:X21, "*Оз*")=0, X1, "")</f>
        <v/>
      </c>
      <c r="K36" s="57" t="str">
        <f t="shared" si="38"/>
        <v/>
      </c>
      <c r="L36" s="57" t="str">
        <f t="shared" si="38"/>
        <v/>
      </c>
      <c r="M36" s="57" t="str">
        <f t="shared" si="38"/>
        <v/>
      </c>
      <c r="N36" s="57" t="str">
        <f t="shared" si="38"/>
        <v/>
      </c>
      <c r="O36" s="57" t="str">
        <f t="shared" si="38"/>
        <v/>
      </c>
      <c r="P36" s="58" t="str">
        <f t="shared" si="38"/>
        <v/>
      </c>
      <c r="Q36" s="56" t="str">
        <f t="shared" ref="Q36:W36" si="39">IF(COUNTIF(X3:X21, "Ц")=0, X1, "")</f>
        <v/>
      </c>
      <c r="R36" s="57" t="str">
        <f t="shared" si="39"/>
        <v/>
      </c>
      <c r="S36" s="57" t="str">
        <f t="shared" si="39"/>
        <v/>
      </c>
      <c r="T36" s="57" t="str">
        <f t="shared" si="39"/>
        <v/>
      </c>
      <c r="U36" s="57" t="str">
        <f t="shared" si="39"/>
        <v/>
      </c>
      <c r="V36" s="57" t="str">
        <f t="shared" si="39"/>
        <v/>
      </c>
      <c r="W36" s="58" t="str">
        <f t="shared" si="39"/>
        <v/>
      </c>
      <c r="X36" s="56" t="str">
        <f t="shared" ref="X36:AD36" si="40">IF(COUNTIF(X3:X21, "*А*")=0, X1, "")</f>
        <v/>
      </c>
      <c r="Y36" s="57" t="str">
        <f t="shared" si="40"/>
        <v/>
      </c>
      <c r="Z36" s="57" t="str">
        <f t="shared" si="40"/>
        <v/>
      </c>
      <c r="AA36" s="57" t="str">
        <f t="shared" si="40"/>
        <v/>
      </c>
      <c r="AB36" s="57" t="str">
        <f t="shared" si="40"/>
        <v/>
      </c>
      <c r="AC36" s="57" t="str">
        <f t="shared" si="40"/>
        <v/>
      </c>
      <c r="AD36" s="58" t="str">
        <f t="shared" si="40"/>
        <v/>
      </c>
      <c r="AE36" s="56" t="str">
        <f>IF(COUNTIF(X$3:X$21, "*Ох*")=0, X$1, "")</f>
        <v/>
      </c>
      <c r="AF36" s="57" t="str">
        <f t="shared" ref="AF36:AK36" si="41">IF(COUNTIF(Y$3:Y$20, "*Ох*")=0, Y$1, "")</f>
        <v/>
      </c>
      <c r="AG36" s="57" t="str">
        <f t="shared" si="41"/>
        <v/>
      </c>
      <c r="AH36" s="57" t="str">
        <f t="shared" si="41"/>
        <v/>
      </c>
      <c r="AI36" s="57" t="str">
        <f t="shared" si="41"/>
        <v/>
      </c>
      <c r="AJ36" s="57" t="str">
        <f t="shared" si="41"/>
        <v/>
      </c>
      <c r="AK36" s="58" t="str">
        <f t="shared" si="41"/>
        <v/>
      </c>
      <c r="AL36" s="56" t="str">
        <f t="shared" ref="AL36:AQ36" si="42">IF(COUNTIF(X$3:X$21, "*П*")=0, X$1, "")</f>
        <v/>
      </c>
      <c r="AM36" s="57" t="str">
        <f t="shared" si="42"/>
        <v/>
      </c>
      <c r="AN36" s="57" t="str">
        <f t="shared" si="42"/>
        <v/>
      </c>
      <c r="AO36" s="57" t="str">
        <f t="shared" si="42"/>
        <v/>
      </c>
      <c r="AP36" s="57" t="str">
        <f t="shared" si="42"/>
        <v/>
      </c>
      <c r="AQ36" s="57" t="str">
        <f t="shared" si="42"/>
        <v/>
      </c>
      <c r="AR36" s="58" t="str">
        <f>IF(COUNTIF(AD$3:AD$20, "*П*")=0, AD$1, "")</f>
        <v/>
      </c>
      <c r="AZ36" s="96" t="s">
        <v>61</v>
      </c>
      <c r="BA36" s="93"/>
      <c r="BB36" s="93"/>
      <c r="BC36" s="93"/>
      <c r="BD36" s="93"/>
      <c r="BE36" s="94"/>
      <c r="BF36" s="97"/>
      <c r="BG36" s="93"/>
      <c r="BH36" s="94"/>
    </row>
    <row r="37" spans="3:60" ht="16.5" customHeight="1" thickBot="1" x14ac:dyDescent="0.3">
      <c r="C37" s="59">
        <f>IF(COUNTIF(AE$3:AE$21, "*М*")=0, AE$1, "")</f>
        <v>29</v>
      </c>
      <c r="D37" s="60">
        <f>IF(COUNTIF(AF$3:AF$21, "*М*")=0, AF$1, "")</f>
        <v>30</v>
      </c>
      <c r="E37" s="60">
        <f>IF(COUNTIF(AG$3:AG$21, "*М*")=0, AG$1, "")</f>
        <v>31</v>
      </c>
      <c r="F37" s="60"/>
      <c r="G37" s="60"/>
      <c r="H37" s="60"/>
      <c r="I37" s="61"/>
      <c r="J37" s="59">
        <f>IF(COUNTIF(AE3:AE21, "*Оз*")=0, AE1, "")</f>
        <v>29</v>
      </c>
      <c r="K37" s="60">
        <f>IF(COUNTIF(AF3:AF21, "*Оз*")=0, AF1, "")</f>
        <v>30</v>
      </c>
      <c r="L37" s="60">
        <f>IF(COUNTIF(AG3:AG21, "*Оз*")=0, AG1, "")</f>
        <v>31</v>
      </c>
      <c r="M37" s="60"/>
      <c r="N37" s="60"/>
      <c r="O37" s="60"/>
      <c r="P37" s="61"/>
      <c r="Q37" s="59">
        <f>IF(COUNTIF(AE3:AE21, "*Ц*")=0, AE1, "")</f>
        <v>29</v>
      </c>
      <c r="R37" s="60">
        <f>IF(COUNTIF(AF3:AF21, "*Ц*")=0, AF1, "")</f>
        <v>30</v>
      </c>
      <c r="S37" s="60">
        <f>IF(COUNTIF(AG3:AG21, "*Ц*")=0, AG1, "")</f>
        <v>31</v>
      </c>
      <c r="T37" s="60"/>
      <c r="U37" s="60"/>
      <c r="V37" s="60"/>
      <c r="W37" s="61"/>
      <c r="X37" s="59">
        <f>IF(COUNTIF(AE3:AE21, "*А*")=0, AE1, "")</f>
        <v>29</v>
      </c>
      <c r="Y37" s="60">
        <f>IF(COUNTIF(AF3:AF21, "*А*")=0, AF1, "")</f>
        <v>30</v>
      </c>
      <c r="Z37" s="60">
        <f>IF(COUNTIF(AG3:AG21, "*А*")=0, AG1, "")</f>
        <v>31</v>
      </c>
      <c r="AA37" s="60"/>
      <c r="AB37" s="60"/>
      <c r="AC37" s="60"/>
      <c r="AD37" s="61"/>
      <c r="AE37" s="59">
        <f>IF(COUNTIF(AE$3:AE$21, "*Ох*")=0, AE$1, "")</f>
        <v>29</v>
      </c>
      <c r="AF37" s="60">
        <f>IF(COUNTIF(AF$3:AF$21, "*Ох*")=0, AF$1, "")</f>
        <v>30</v>
      </c>
      <c r="AG37" s="60">
        <f>IF(COUNTIF(AG$3:AG$21, "*Ох*")=0, AG$1, "")</f>
        <v>31</v>
      </c>
      <c r="AH37" s="60"/>
      <c r="AI37" s="60"/>
      <c r="AJ37" s="60"/>
      <c r="AK37" s="61"/>
      <c r="AL37" s="59">
        <f>IF(COUNTIF(AE$3:AE$21, "*П*")=0, AE$1, "")</f>
        <v>29</v>
      </c>
      <c r="AM37" s="60">
        <f>IF(COUNTIF(AF$3:AF$21, "*П*")=0, AF$1, "")</f>
        <v>30</v>
      </c>
      <c r="AN37" s="60">
        <f>IF(COUNTIF(AG$3:AG$21, "*П*")=0, AG$1, "")</f>
        <v>31</v>
      </c>
      <c r="AO37" s="60"/>
      <c r="AP37" s="60"/>
      <c r="AQ37" s="60"/>
      <c r="AR37" s="61"/>
      <c r="AZ37" s="92" t="s">
        <v>64</v>
      </c>
      <c r="BA37" s="93"/>
      <c r="BB37" s="93"/>
      <c r="BC37" s="93"/>
      <c r="BD37" s="93"/>
      <c r="BE37" s="94"/>
      <c r="BF37" s="95"/>
      <c r="BG37" s="93"/>
      <c r="BH37" s="94"/>
    </row>
    <row r="38" spans="3:60" ht="16.5" customHeight="1" thickBot="1" x14ac:dyDescent="0.3">
      <c r="C38" s="82" t="s">
        <v>67</v>
      </c>
      <c r="D38" s="83"/>
      <c r="E38" s="83"/>
      <c r="F38" s="83"/>
      <c r="G38" s="83"/>
      <c r="H38" s="83"/>
      <c r="I38" s="84"/>
      <c r="AN38" s="75"/>
      <c r="AZ38" s="85" t="s">
        <v>67</v>
      </c>
      <c r="BA38" s="86"/>
      <c r="BB38" s="86"/>
      <c r="BC38" s="86"/>
      <c r="BD38" s="86"/>
      <c r="BE38" s="87"/>
      <c r="BF38" s="88"/>
      <c r="BG38" s="86"/>
      <c r="BH38" s="87"/>
    </row>
    <row r="39" spans="3:60" ht="16.5" thickBot="1" x14ac:dyDescent="0.3">
      <c r="C39" s="53">
        <f t="shared" ref="C39:I39" si="43">IF(COUNTIF(C$3:C$21, "*Р*")=0, C$1, "")</f>
        <v>1</v>
      </c>
      <c r="D39" s="54">
        <f t="shared" si="43"/>
        <v>2</v>
      </c>
      <c r="E39" s="54">
        <f t="shared" si="43"/>
        <v>3</v>
      </c>
      <c r="F39" s="54">
        <f t="shared" si="43"/>
        <v>4</v>
      </c>
      <c r="G39" s="54">
        <f t="shared" si="43"/>
        <v>5</v>
      </c>
      <c r="H39" s="54">
        <f t="shared" si="43"/>
        <v>6</v>
      </c>
      <c r="I39" s="55">
        <f t="shared" si="43"/>
        <v>7</v>
      </c>
      <c r="AN39" s="75"/>
      <c r="AZ39" s="89" t="s">
        <v>30</v>
      </c>
      <c r="BA39" s="83"/>
      <c r="BB39" s="83"/>
      <c r="BC39" s="83"/>
      <c r="BD39" s="83"/>
      <c r="BE39" s="90"/>
      <c r="BF39" s="91">
        <f>SUM(BF32:BH38)</f>
        <v>0</v>
      </c>
      <c r="BG39" s="83"/>
      <c r="BH39" s="90"/>
    </row>
    <row r="40" spans="3:60" x14ac:dyDescent="0.25">
      <c r="C40" s="56">
        <f t="shared" ref="C40:I40" si="44">IF(COUNTIF(J$3:J$21, "*Р*")=0, J$1, "")</f>
        <v>8</v>
      </c>
      <c r="D40" s="57">
        <f t="shared" si="44"/>
        <v>9</v>
      </c>
      <c r="E40" s="57">
        <f t="shared" si="44"/>
        <v>10</v>
      </c>
      <c r="F40" s="57">
        <f t="shared" si="44"/>
        <v>11</v>
      </c>
      <c r="G40" s="57">
        <f t="shared" si="44"/>
        <v>12</v>
      </c>
      <c r="H40" s="57">
        <f t="shared" si="44"/>
        <v>13</v>
      </c>
      <c r="I40" s="58">
        <f t="shared" si="44"/>
        <v>14</v>
      </c>
    </row>
    <row r="41" spans="3:60" x14ac:dyDescent="0.25">
      <c r="C41" s="56">
        <f t="shared" ref="C41:I41" si="45">IF(COUNTIF(Q$3:Q$21, "*Р*")=0, Q$1, "")</f>
        <v>15</v>
      </c>
      <c r="D41" s="57">
        <f t="shared" si="45"/>
        <v>16</v>
      </c>
      <c r="E41" s="57">
        <f t="shared" si="45"/>
        <v>17</v>
      </c>
      <c r="F41" s="57">
        <f t="shared" si="45"/>
        <v>18</v>
      </c>
      <c r="G41" s="57">
        <f t="shared" si="45"/>
        <v>19</v>
      </c>
      <c r="H41" s="57">
        <f t="shared" si="45"/>
        <v>20</v>
      </c>
      <c r="I41" s="58">
        <f t="shared" si="45"/>
        <v>21</v>
      </c>
    </row>
    <row r="42" spans="3:60" x14ac:dyDescent="0.25">
      <c r="C42" s="56">
        <f t="shared" ref="C42:I42" si="46">IF(COUNTIF(X$3:X$21, "Р")=0, X$1, "")</f>
        <v>22</v>
      </c>
      <c r="D42" s="57">
        <f t="shared" si="46"/>
        <v>23</v>
      </c>
      <c r="E42" s="57">
        <f t="shared" si="46"/>
        <v>24</v>
      </c>
      <c r="F42" s="57">
        <f t="shared" si="46"/>
        <v>25</v>
      </c>
      <c r="G42" s="57">
        <f t="shared" si="46"/>
        <v>26</v>
      </c>
      <c r="H42" s="57">
        <f t="shared" si="46"/>
        <v>27</v>
      </c>
      <c r="I42" s="58">
        <f t="shared" si="46"/>
        <v>28</v>
      </c>
    </row>
    <row r="43" spans="3:60" ht="16.5" customHeight="1" thickBot="1" x14ac:dyDescent="0.3">
      <c r="C43" s="59">
        <f>IF(COUNTIF(AE$3:AE$21, "*Р*")=0, AE$1, "")</f>
        <v>29</v>
      </c>
      <c r="D43" s="60">
        <f>IF(COUNTIF(AF$3:AF$21, "*Р*")=0, AF$1, "")</f>
        <v>30</v>
      </c>
      <c r="E43" s="60">
        <f>IF(COUNTIF(AG$3:AG$21, "*Р*")=0, AG$1, "")</f>
        <v>31</v>
      </c>
      <c r="F43" s="60"/>
      <c r="G43" s="60"/>
      <c r="H43" s="60"/>
      <c r="I43" s="61"/>
    </row>
    <row r="46" spans="3:60" ht="16.5" customHeight="1" x14ac:dyDescent="0.25"/>
    <row r="47" spans="3:60" ht="16.5" customHeight="1" x14ac:dyDescent="0.25"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AB47" s="77"/>
    </row>
    <row r="48" spans="3:60" x14ac:dyDescent="0.25"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</row>
    <row r="49" spans="3:15" x14ac:dyDescent="0.25"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</row>
    <row r="50" spans="3:15" x14ac:dyDescent="0.25"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</row>
    <row r="51" spans="3:15" x14ac:dyDescent="0.25"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</row>
    <row r="52" spans="3:15" x14ac:dyDescent="0.25"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</row>
    <row r="53" spans="3:15" ht="16.5" customHeight="1" x14ac:dyDescent="0.25"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</row>
    <row r="54" spans="3:15" ht="16.5" customHeight="1" x14ac:dyDescent="0.25"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</row>
    <row r="55" spans="3:15" x14ac:dyDescent="0.25"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</row>
    <row r="56" spans="3:15" x14ac:dyDescent="0.2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3:15" ht="16.5" customHeight="1" x14ac:dyDescent="0.25"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</row>
    <row r="58" spans="3:15" x14ac:dyDescent="0.25"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</row>
    <row r="59" spans="3:15" x14ac:dyDescent="0.25"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</row>
    <row r="60" spans="3:15" ht="16.5" customHeight="1" x14ac:dyDescent="0.25"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</row>
    <row r="63" spans="3:15" x14ac:dyDescent="0.25">
      <c r="M63" s="77"/>
    </row>
  </sheetData>
  <mergeCells count="452">
    <mergeCell ref="C38:I38"/>
    <mergeCell ref="AZ38:BE38"/>
    <mergeCell ref="BF38:BH38"/>
    <mergeCell ref="AZ39:BE39"/>
    <mergeCell ref="BF39:BH39"/>
    <mergeCell ref="AZ35:BE35"/>
    <mergeCell ref="BF35:BH35"/>
    <mergeCell ref="AZ36:BE36"/>
    <mergeCell ref="BF36:BH36"/>
    <mergeCell ref="AZ37:BE37"/>
    <mergeCell ref="BF37:BH37"/>
    <mergeCell ref="AZ32:BE32"/>
    <mergeCell ref="BF32:BH32"/>
    <mergeCell ref="AZ33:BE33"/>
    <mergeCell ref="BF33:BH33"/>
    <mergeCell ref="AZ34:BE34"/>
    <mergeCell ref="BF34:BH34"/>
    <mergeCell ref="C32:I32"/>
    <mergeCell ref="J32:P32"/>
    <mergeCell ref="Q32:W32"/>
    <mergeCell ref="X32:AD32"/>
    <mergeCell ref="AE32:AK32"/>
    <mergeCell ref="AL32:AR32"/>
    <mergeCell ref="AH28:AI28"/>
    <mergeCell ref="AJ28:AK28"/>
    <mergeCell ref="AH29:AI29"/>
    <mergeCell ref="AJ29:AK29"/>
    <mergeCell ref="AH30:AI30"/>
    <mergeCell ref="AJ30:AK30"/>
    <mergeCell ref="AH26:AI26"/>
    <mergeCell ref="AJ26:AK26"/>
    <mergeCell ref="AO26:AS26"/>
    <mergeCell ref="AT26:AX26"/>
    <mergeCell ref="AH27:AI27"/>
    <mergeCell ref="AJ27:AK27"/>
    <mergeCell ref="AO27:AS27"/>
    <mergeCell ref="AT27:AX27"/>
    <mergeCell ref="AH24:AI24"/>
    <mergeCell ref="AJ24:AK24"/>
    <mergeCell ref="AO24:AQ24"/>
    <mergeCell ref="AR24:AT24"/>
    <mergeCell ref="AU24:CW24"/>
    <mergeCell ref="AH25:AI25"/>
    <mergeCell ref="AJ25:AK25"/>
    <mergeCell ref="AO25:AQ25"/>
    <mergeCell ref="AR25:AT25"/>
    <mergeCell ref="AH23:AI23"/>
    <mergeCell ref="AJ23:AK23"/>
    <mergeCell ref="AO23:AQ23"/>
    <mergeCell ref="AR23:AT23"/>
    <mergeCell ref="AU23:CW23"/>
    <mergeCell ref="BG22:BJ22"/>
    <mergeCell ref="BK22:BN22"/>
    <mergeCell ref="BO22:BR22"/>
    <mergeCell ref="BS22:BV22"/>
    <mergeCell ref="BW22:BZ22"/>
    <mergeCell ref="CA22:CD22"/>
    <mergeCell ref="BO20:BR20"/>
    <mergeCell ref="BS20:BV20"/>
    <mergeCell ref="CI21:CL21"/>
    <mergeCell ref="CM21:CP21"/>
    <mergeCell ref="CQ21:CT21"/>
    <mergeCell ref="CU21:CW21"/>
    <mergeCell ref="AH22:AK22"/>
    <mergeCell ref="AO22:AQ22"/>
    <mergeCell ref="AR22:AT22"/>
    <mergeCell ref="AU22:AX22"/>
    <mergeCell ref="AY22:BB22"/>
    <mergeCell ref="BC22:BF22"/>
    <mergeCell ref="BK21:BN21"/>
    <mergeCell ref="BO21:BR21"/>
    <mergeCell ref="BS21:BV21"/>
    <mergeCell ref="BW21:BZ21"/>
    <mergeCell ref="CA21:CD21"/>
    <mergeCell ref="CE21:CH21"/>
    <mergeCell ref="CE22:CH22"/>
    <mergeCell ref="CI22:CL22"/>
    <mergeCell ref="CM22:CP22"/>
    <mergeCell ref="CQ22:CT22"/>
    <mergeCell ref="CU22:CW22"/>
    <mergeCell ref="AH21:AI21"/>
    <mergeCell ref="AJ21:AK21"/>
    <mergeCell ref="AO21:AP21"/>
    <mergeCell ref="AQ21:AR21"/>
    <mergeCell ref="AS21:AT21"/>
    <mergeCell ref="AU21:AX21"/>
    <mergeCell ref="AY21:BB21"/>
    <mergeCell ref="BC21:BF21"/>
    <mergeCell ref="BG21:BJ21"/>
    <mergeCell ref="CU19:CW19"/>
    <mergeCell ref="AH20:AI20"/>
    <mergeCell ref="AJ20:AK20"/>
    <mergeCell ref="AO20:AP20"/>
    <mergeCell ref="AQ20:AR20"/>
    <mergeCell ref="AS20:AT20"/>
    <mergeCell ref="AU20:AX20"/>
    <mergeCell ref="BK19:BN19"/>
    <mergeCell ref="BO19:BR19"/>
    <mergeCell ref="BS19:BV19"/>
    <mergeCell ref="BW19:BZ19"/>
    <mergeCell ref="CA19:CD19"/>
    <mergeCell ref="CE19:CH19"/>
    <mergeCell ref="CU20:CW20"/>
    <mergeCell ref="BW20:BZ20"/>
    <mergeCell ref="CA20:CD20"/>
    <mergeCell ref="CE20:CH20"/>
    <mergeCell ref="CI20:CL20"/>
    <mergeCell ref="CM20:CP20"/>
    <mergeCell ref="CQ20:CT20"/>
    <mergeCell ref="AY20:BB20"/>
    <mergeCell ref="BC20:BF20"/>
    <mergeCell ref="BG20:BJ20"/>
    <mergeCell ref="BK20:BN20"/>
    <mergeCell ref="CQ18:CT18"/>
    <mergeCell ref="AY18:BB18"/>
    <mergeCell ref="BC18:BF18"/>
    <mergeCell ref="BG18:BJ18"/>
    <mergeCell ref="BK18:BN18"/>
    <mergeCell ref="BO18:BR18"/>
    <mergeCell ref="BS18:BV18"/>
    <mergeCell ref="CI19:CL19"/>
    <mergeCell ref="CM19:CP19"/>
    <mergeCell ref="CQ19:CT19"/>
    <mergeCell ref="AH19:AI19"/>
    <mergeCell ref="AJ19:AK19"/>
    <mergeCell ref="AO19:AP19"/>
    <mergeCell ref="AQ19:AR19"/>
    <mergeCell ref="AS19:AT19"/>
    <mergeCell ref="AU19:AX19"/>
    <mergeCell ref="AY19:BB19"/>
    <mergeCell ref="BC19:BF19"/>
    <mergeCell ref="BG19:BJ19"/>
    <mergeCell ref="BO16:BR16"/>
    <mergeCell ref="BS16:BV16"/>
    <mergeCell ref="CI17:CL17"/>
    <mergeCell ref="CM17:CP17"/>
    <mergeCell ref="CQ17:CT17"/>
    <mergeCell ref="CU17:CW17"/>
    <mergeCell ref="AH18:AI18"/>
    <mergeCell ref="AJ18:AK18"/>
    <mergeCell ref="AO18:AP18"/>
    <mergeCell ref="AQ18:AR18"/>
    <mergeCell ref="AS18:AT18"/>
    <mergeCell ref="AU18:AX18"/>
    <mergeCell ref="BK17:BN17"/>
    <mergeCell ref="BO17:BR17"/>
    <mergeCell ref="BS17:BV17"/>
    <mergeCell ref="BW17:BZ17"/>
    <mergeCell ref="CA17:CD17"/>
    <mergeCell ref="CE17:CH17"/>
    <mergeCell ref="CU18:CW18"/>
    <mergeCell ref="BW18:BZ18"/>
    <mergeCell ref="CA18:CD18"/>
    <mergeCell ref="CE18:CH18"/>
    <mergeCell ref="CI18:CL18"/>
    <mergeCell ref="CM18:CP18"/>
    <mergeCell ref="AH17:AI17"/>
    <mergeCell ref="AJ17:AK17"/>
    <mergeCell ref="AO17:AP17"/>
    <mergeCell ref="AQ17:AR17"/>
    <mergeCell ref="AS17:AT17"/>
    <mergeCell ref="AU17:AX17"/>
    <mergeCell ref="AY17:BB17"/>
    <mergeCell ref="BC17:BF17"/>
    <mergeCell ref="BG17:BJ17"/>
    <mergeCell ref="CU15:CW15"/>
    <mergeCell ref="AH16:AI16"/>
    <mergeCell ref="AJ16:AK16"/>
    <mergeCell ref="AO16:AP16"/>
    <mergeCell ref="AQ16:AR16"/>
    <mergeCell ref="AS16:AT16"/>
    <mergeCell ref="AU16:AX16"/>
    <mergeCell ref="BK15:BN15"/>
    <mergeCell ref="BO15:BR15"/>
    <mergeCell ref="BS15:BV15"/>
    <mergeCell ref="BW15:BZ15"/>
    <mergeCell ref="CA15:CD15"/>
    <mergeCell ref="CE15:CH15"/>
    <mergeCell ref="CU16:CW16"/>
    <mergeCell ref="BW16:BZ16"/>
    <mergeCell ref="CA16:CD16"/>
    <mergeCell ref="CE16:CH16"/>
    <mergeCell ref="CI16:CL16"/>
    <mergeCell ref="CM16:CP16"/>
    <mergeCell ref="CQ16:CT16"/>
    <mergeCell ref="AY16:BB16"/>
    <mergeCell ref="BC16:BF16"/>
    <mergeCell ref="BG16:BJ16"/>
    <mergeCell ref="BK16:BN16"/>
    <mergeCell ref="CQ14:CT14"/>
    <mergeCell ref="AY14:BB14"/>
    <mergeCell ref="BC14:BF14"/>
    <mergeCell ref="BG14:BJ14"/>
    <mergeCell ref="BK14:BN14"/>
    <mergeCell ref="BO14:BR14"/>
    <mergeCell ref="BS14:BV14"/>
    <mergeCell ref="CI15:CL15"/>
    <mergeCell ref="CM15:CP15"/>
    <mergeCell ref="CQ15:CT15"/>
    <mergeCell ref="AH15:AI15"/>
    <mergeCell ref="AJ15:AK15"/>
    <mergeCell ref="AO15:AP15"/>
    <mergeCell ref="AQ15:AR15"/>
    <mergeCell ref="AS15:AT15"/>
    <mergeCell ref="AU15:AX15"/>
    <mergeCell ref="AY15:BB15"/>
    <mergeCell ref="BC15:BF15"/>
    <mergeCell ref="BG15:BJ15"/>
    <mergeCell ref="BO12:BR12"/>
    <mergeCell ref="BS12:BV12"/>
    <mergeCell ref="CI13:CL13"/>
    <mergeCell ref="CM13:CP13"/>
    <mergeCell ref="CQ13:CT13"/>
    <mergeCell ref="CU13:CW13"/>
    <mergeCell ref="AH14:AI14"/>
    <mergeCell ref="AJ14:AK14"/>
    <mergeCell ref="AO14:AP14"/>
    <mergeCell ref="AQ14:AR14"/>
    <mergeCell ref="AS14:AT14"/>
    <mergeCell ref="AU14:AX14"/>
    <mergeCell ref="BK13:BN13"/>
    <mergeCell ref="BO13:BR13"/>
    <mergeCell ref="BS13:BV13"/>
    <mergeCell ref="BW13:BZ13"/>
    <mergeCell ref="CA13:CD13"/>
    <mergeCell ref="CE13:CH13"/>
    <mergeCell ref="CU14:CW14"/>
    <mergeCell ref="BW14:BZ14"/>
    <mergeCell ref="CA14:CD14"/>
    <mergeCell ref="CE14:CH14"/>
    <mergeCell ref="CI14:CL14"/>
    <mergeCell ref="CM14:CP14"/>
    <mergeCell ref="AH13:AI13"/>
    <mergeCell ref="AJ13:AK13"/>
    <mergeCell ref="AO13:AP13"/>
    <mergeCell ref="AQ13:AR13"/>
    <mergeCell ref="AS13:AT13"/>
    <mergeCell ref="AU13:AX13"/>
    <mergeCell ref="AY13:BB13"/>
    <mergeCell ref="BC13:BF13"/>
    <mergeCell ref="BG13:BJ13"/>
    <mergeCell ref="CU11:CW11"/>
    <mergeCell ref="AH12:AI12"/>
    <mergeCell ref="AJ12:AK12"/>
    <mergeCell ref="AO12:AP12"/>
    <mergeCell ref="AQ12:AR12"/>
    <mergeCell ref="AS12:AT12"/>
    <mergeCell ref="AU12:AX12"/>
    <mergeCell ref="BK11:BN11"/>
    <mergeCell ref="BO11:BR11"/>
    <mergeCell ref="BS11:BV11"/>
    <mergeCell ref="BW11:BZ11"/>
    <mergeCell ref="CA11:CD11"/>
    <mergeCell ref="CE11:CH11"/>
    <mergeCell ref="CU12:CW12"/>
    <mergeCell ref="BW12:BZ12"/>
    <mergeCell ref="CA12:CD12"/>
    <mergeCell ref="CE12:CH12"/>
    <mergeCell ref="CI12:CL12"/>
    <mergeCell ref="CM12:CP12"/>
    <mergeCell ref="CQ12:CT12"/>
    <mergeCell ref="AY12:BB12"/>
    <mergeCell ref="BC12:BF12"/>
    <mergeCell ref="BG12:BJ12"/>
    <mergeCell ref="BK12:BN12"/>
    <mergeCell ref="CM10:CP10"/>
    <mergeCell ref="CQ10:CT10"/>
    <mergeCell ref="AY10:BB10"/>
    <mergeCell ref="BC10:BF10"/>
    <mergeCell ref="BG10:BJ10"/>
    <mergeCell ref="BK10:BN10"/>
    <mergeCell ref="BO10:BR10"/>
    <mergeCell ref="BS10:BV10"/>
    <mergeCell ref="CI11:CL11"/>
    <mergeCell ref="CM11:CP11"/>
    <mergeCell ref="CQ11:CT11"/>
    <mergeCell ref="AH11:AI11"/>
    <mergeCell ref="AJ11:AK11"/>
    <mergeCell ref="AO11:AP11"/>
    <mergeCell ref="AQ11:AR11"/>
    <mergeCell ref="AS11:AT11"/>
    <mergeCell ref="AU11:AX11"/>
    <mergeCell ref="AY11:BB11"/>
    <mergeCell ref="BC11:BF11"/>
    <mergeCell ref="BG11:BJ11"/>
    <mergeCell ref="BK8:BN8"/>
    <mergeCell ref="BO8:BR8"/>
    <mergeCell ref="BS8:BV8"/>
    <mergeCell ref="CI9:CL9"/>
    <mergeCell ref="CM9:CP9"/>
    <mergeCell ref="CQ9:CT9"/>
    <mergeCell ref="CU9:CW9"/>
    <mergeCell ref="AH10:AI10"/>
    <mergeCell ref="AJ10:AK10"/>
    <mergeCell ref="AO10:AP10"/>
    <mergeCell ref="AQ10:AR10"/>
    <mergeCell ref="AS10:AT10"/>
    <mergeCell ref="AU10:AX10"/>
    <mergeCell ref="BK9:BN9"/>
    <mergeCell ref="BO9:BR9"/>
    <mergeCell ref="BS9:BV9"/>
    <mergeCell ref="BW9:BZ9"/>
    <mergeCell ref="CA9:CD9"/>
    <mergeCell ref="CE9:CH9"/>
    <mergeCell ref="CU10:CW10"/>
    <mergeCell ref="BW10:BZ10"/>
    <mergeCell ref="CA10:CD10"/>
    <mergeCell ref="CE10:CH10"/>
    <mergeCell ref="CI10:CL10"/>
    <mergeCell ref="AH9:AI9"/>
    <mergeCell ref="AJ9:AK9"/>
    <mergeCell ref="AO9:AP9"/>
    <mergeCell ref="AQ9:AR9"/>
    <mergeCell ref="AS9:AT9"/>
    <mergeCell ref="AU9:AX9"/>
    <mergeCell ref="AY9:BB9"/>
    <mergeCell ref="BC9:BF9"/>
    <mergeCell ref="BG9:BJ9"/>
    <mergeCell ref="CQ7:CT7"/>
    <mergeCell ref="CU7:CW7"/>
    <mergeCell ref="AH8:AI8"/>
    <mergeCell ref="AJ8:AK8"/>
    <mergeCell ref="AO8:AP8"/>
    <mergeCell ref="AQ8:AR8"/>
    <mergeCell ref="AS8:AT8"/>
    <mergeCell ref="AU8:AX8"/>
    <mergeCell ref="BK7:BN7"/>
    <mergeCell ref="BO7:BR7"/>
    <mergeCell ref="BS7:BV7"/>
    <mergeCell ref="BW7:BZ7"/>
    <mergeCell ref="CA7:CD7"/>
    <mergeCell ref="CE7:CH7"/>
    <mergeCell ref="CU8:CW8"/>
    <mergeCell ref="BW8:BZ8"/>
    <mergeCell ref="CA8:CD8"/>
    <mergeCell ref="CE8:CH8"/>
    <mergeCell ref="CI8:CL8"/>
    <mergeCell ref="CM8:CP8"/>
    <mergeCell ref="CQ8:CT8"/>
    <mergeCell ref="AY8:BB8"/>
    <mergeCell ref="BC8:BF8"/>
    <mergeCell ref="BG8:BJ8"/>
    <mergeCell ref="CU6:CW6"/>
    <mergeCell ref="AH7:AI7"/>
    <mergeCell ref="AJ7:AK7"/>
    <mergeCell ref="AO7:AP7"/>
    <mergeCell ref="AQ7:AR7"/>
    <mergeCell ref="AS7:AT7"/>
    <mergeCell ref="AU7:AX7"/>
    <mergeCell ref="AY7:BB7"/>
    <mergeCell ref="BC7:BF7"/>
    <mergeCell ref="BG7:BJ7"/>
    <mergeCell ref="BW6:BZ6"/>
    <mergeCell ref="CA6:CD6"/>
    <mergeCell ref="CE6:CH6"/>
    <mergeCell ref="CI6:CL6"/>
    <mergeCell ref="CM6:CP6"/>
    <mergeCell ref="CQ6:CT6"/>
    <mergeCell ref="AY6:BB6"/>
    <mergeCell ref="BC6:BF6"/>
    <mergeCell ref="BG6:BJ6"/>
    <mergeCell ref="BK6:BN6"/>
    <mergeCell ref="BO6:BR6"/>
    <mergeCell ref="BS6:BV6"/>
    <mergeCell ref="CI7:CL7"/>
    <mergeCell ref="CM7:CP7"/>
    <mergeCell ref="AH6:AI6"/>
    <mergeCell ref="AJ6:AK6"/>
    <mergeCell ref="AO6:AP6"/>
    <mergeCell ref="AQ6:AR6"/>
    <mergeCell ref="AS6:AT6"/>
    <mergeCell ref="AU6:AX6"/>
    <mergeCell ref="BK5:BN5"/>
    <mergeCell ref="BO5:BR5"/>
    <mergeCell ref="BS5:BV5"/>
    <mergeCell ref="BC4:BF4"/>
    <mergeCell ref="BG4:BJ4"/>
    <mergeCell ref="BK4:BN4"/>
    <mergeCell ref="BO4:BR4"/>
    <mergeCell ref="BS4:BV4"/>
    <mergeCell ref="CI5:CL5"/>
    <mergeCell ref="CM5:CP5"/>
    <mergeCell ref="CQ5:CT5"/>
    <mergeCell ref="CU5:CW5"/>
    <mergeCell ref="BW5:BZ5"/>
    <mergeCell ref="CA5:CD5"/>
    <mergeCell ref="CE5:CH5"/>
    <mergeCell ref="AH5:AI5"/>
    <mergeCell ref="AJ5:AK5"/>
    <mergeCell ref="AO5:AP5"/>
    <mergeCell ref="AQ5:AR5"/>
    <mergeCell ref="AS5:AT5"/>
    <mergeCell ref="AU5:AX5"/>
    <mergeCell ref="AY5:BB5"/>
    <mergeCell ref="BC5:BF5"/>
    <mergeCell ref="BG5:BJ5"/>
    <mergeCell ref="CI3:CL3"/>
    <mergeCell ref="CM3:CP3"/>
    <mergeCell ref="CQ3:CT3"/>
    <mergeCell ref="CU3:CW3"/>
    <mergeCell ref="AH4:AI4"/>
    <mergeCell ref="AJ4:AK4"/>
    <mergeCell ref="AO4:AP4"/>
    <mergeCell ref="AQ4:AR4"/>
    <mergeCell ref="AS4:AT4"/>
    <mergeCell ref="AU4:AX4"/>
    <mergeCell ref="BK3:BN3"/>
    <mergeCell ref="BO3:BR3"/>
    <mergeCell ref="BS3:BV3"/>
    <mergeCell ref="BW3:BZ3"/>
    <mergeCell ref="CA3:CD3"/>
    <mergeCell ref="CE3:CH3"/>
    <mergeCell ref="CU4:CW4"/>
    <mergeCell ref="BW4:BZ4"/>
    <mergeCell ref="CA4:CD4"/>
    <mergeCell ref="CE4:CH4"/>
    <mergeCell ref="CI4:CL4"/>
    <mergeCell ref="CM4:CP4"/>
    <mergeCell ref="CQ4:CT4"/>
    <mergeCell ref="AY4:BB4"/>
    <mergeCell ref="AH3:AI3"/>
    <mergeCell ref="AJ3:AK3"/>
    <mergeCell ref="AO3:AP3"/>
    <mergeCell ref="AQ3:AR3"/>
    <mergeCell ref="AS3:AT3"/>
    <mergeCell ref="AU3:AX3"/>
    <mergeCell ref="AY3:BB3"/>
    <mergeCell ref="BC3:BF3"/>
    <mergeCell ref="BG3:BJ3"/>
    <mergeCell ref="AH1:AK1"/>
    <mergeCell ref="AL1:AN1"/>
    <mergeCell ref="AO1:AT1"/>
    <mergeCell ref="AU1:CT1"/>
    <mergeCell ref="CU1:CW2"/>
    <mergeCell ref="AH2:AI2"/>
    <mergeCell ref="AJ2:AK2"/>
    <mergeCell ref="AO2:AP2"/>
    <mergeCell ref="AQ2:AR2"/>
    <mergeCell ref="AS2:AT2"/>
    <mergeCell ref="CQ2:CT2"/>
    <mergeCell ref="BS2:BV2"/>
    <mergeCell ref="BW2:BZ2"/>
    <mergeCell ref="CA2:CD2"/>
    <mergeCell ref="CE2:CH2"/>
    <mergeCell ref="CI2:CL2"/>
    <mergeCell ref="CM2:CP2"/>
    <mergeCell ref="AU2:AX2"/>
    <mergeCell ref="AY2:BB2"/>
    <mergeCell ref="BC2:BF2"/>
    <mergeCell ref="BG2:BJ2"/>
    <mergeCell ref="BK2:BN2"/>
    <mergeCell ref="BO2:BR2"/>
  </mergeCells>
  <phoneticPr fontId="8" type="noConversion"/>
  <conditionalFormatting sqref="C3:AG15">
    <cfRule type="containsText" dxfId="67" priority="48" operator="containsText" text="Оз">
      <formula>NOT(ISERROR(SEARCH("Оз",C3)))</formula>
    </cfRule>
    <cfRule type="containsText" dxfId="66" priority="47" operator="containsText" text="П">
      <formula>NOT(ISERROR(SEARCH("П",C3)))</formula>
    </cfRule>
    <cfRule type="containsText" dxfId="65" priority="50" operator="containsText" text="М">
      <formula>NOT(ISERROR(SEARCH("М",C3)))</formula>
    </cfRule>
    <cfRule type="containsText" dxfId="64" priority="51" operator="containsText" text="Ох">
      <formula>NOT(ISERROR(SEARCH("Ох",C3)))</formula>
    </cfRule>
    <cfRule type="containsText" dxfId="63" priority="52" operator="containsText" text="Ц">
      <formula>NOT(ISERROR(SEARCH("Ц",C3)))</formula>
    </cfRule>
  </conditionalFormatting>
  <conditionalFormatting sqref="C3:AG21">
    <cfRule type="containsText" dxfId="62" priority="49" operator="containsText" text="А">
      <formula>NOT(ISERROR(SEARCH("А",C3)))</formula>
    </cfRule>
    <cfRule type="containsText" dxfId="61" priority="46" operator="containsText" text="Р">
      <formula>NOT(ISERROR(SEARCH("Р",C3)))</formula>
    </cfRule>
  </conditionalFormatting>
  <conditionalFormatting sqref="C23:AG29">
    <cfRule type="cellIs" dxfId="60" priority="68" operator="equal">
      <formula>1</formula>
    </cfRule>
    <cfRule type="cellIs" dxfId="59" priority="67" operator="greaterThan">
      <formula>1</formula>
    </cfRule>
    <cfRule type="cellIs" dxfId="58" priority="66" operator="lessThan">
      <formula>1</formula>
    </cfRule>
  </conditionalFormatting>
  <conditionalFormatting sqref="C30:AG30 AJ30">
    <cfRule type="cellIs" dxfId="57" priority="65" operator="greaterThanOrEqual">
      <formula>7</formula>
    </cfRule>
    <cfRule type="cellIs" dxfId="56" priority="64" operator="lessThan">
      <formula>7</formula>
    </cfRule>
  </conditionalFormatting>
  <conditionalFormatting sqref="C33:AR37 C39:I43">
    <cfRule type="expression" dxfId="55" priority="70">
      <formula>NOT(ISBLANK(C33))</formula>
    </cfRule>
    <cfRule type="expression" dxfId="54" priority="69">
      <formula>C33=""</formula>
    </cfRule>
  </conditionalFormatting>
  <conditionalFormatting sqref="J16:AG16 C16:I19 J17:AF19 AG19 C20:AG21">
    <cfRule type="containsText" dxfId="53" priority="57" operator="containsText" text="Р">
      <formula>NOT(ISERROR(SEARCH("Р",C16)))</formula>
    </cfRule>
    <cfRule type="containsText" dxfId="52" priority="63" operator="containsText" text="Ц">
      <formula>NOT(ISERROR(SEARCH("Ц",C16)))</formula>
    </cfRule>
    <cfRule type="containsText" dxfId="51" priority="62" operator="containsText" text="Ох">
      <formula>NOT(ISERROR(SEARCH("Ох",C16)))</formula>
    </cfRule>
    <cfRule type="containsText" dxfId="50" priority="61" operator="containsText" text="М">
      <formula>NOT(ISERROR(SEARCH("М",C16)))</formula>
    </cfRule>
    <cfRule type="containsText" dxfId="49" priority="60" operator="containsText" text="А">
      <formula>NOT(ISERROR(SEARCH("А",C16)))</formula>
    </cfRule>
    <cfRule type="containsText" dxfId="48" priority="59" operator="containsText" text="Оз">
      <formula>NOT(ISERROR(SEARCH("Оз",C16)))</formula>
    </cfRule>
    <cfRule type="containsText" dxfId="47" priority="58" operator="containsText" text="П">
      <formula>NOT(ISERROR(SEARCH("П",C16)))</formula>
    </cfRule>
  </conditionalFormatting>
  <conditionalFormatting sqref="N14">
    <cfRule type="containsText" dxfId="46" priority="31" operator="containsText" text="М">
      <formula>NOT(ISERROR(SEARCH("М",N14)))</formula>
    </cfRule>
    <cfRule type="containsText" dxfId="45" priority="28" operator="containsText" text="П">
      <formula>NOT(ISERROR(SEARCH("П",N14)))</formula>
    </cfRule>
    <cfRule type="containsText" dxfId="44" priority="27" operator="containsText" text="Р">
      <formula>NOT(ISERROR(SEARCH("Р",N14)))</formula>
    </cfRule>
    <cfRule type="containsText" dxfId="43" priority="29" operator="containsText" text="Оз">
      <formula>NOT(ISERROR(SEARCH("Оз",N14)))</formula>
    </cfRule>
    <cfRule type="containsText" dxfId="42" priority="30" operator="containsText" text="А">
      <formula>NOT(ISERROR(SEARCH("А",N14)))</formula>
    </cfRule>
    <cfRule type="containsText" dxfId="41" priority="33" operator="containsText" text="Ц">
      <formula>NOT(ISERROR(SEARCH("Ц",N14)))</formula>
    </cfRule>
    <cfRule type="containsText" dxfId="40" priority="32" operator="containsText" text="Ох">
      <formula>NOT(ISERROR(SEARCH("Ох",N14)))</formula>
    </cfRule>
  </conditionalFormatting>
  <conditionalFormatting sqref="O18:AD19">
    <cfRule type="containsText" dxfId="39" priority="12" operator="containsText" text="Ц">
      <formula>NOT(ISERROR(SEARCH("Ц",O18)))</formula>
    </cfRule>
    <cfRule type="containsText" dxfId="38" priority="11" operator="containsText" text="Ох">
      <formula>NOT(ISERROR(SEARCH("Ох",O18)))</formula>
    </cfRule>
    <cfRule type="containsText" dxfId="37" priority="9" operator="containsText" text="Оз">
      <formula>NOT(ISERROR(SEARCH("Оз",O18)))</formula>
    </cfRule>
    <cfRule type="containsText" dxfId="36" priority="8" operator="containsText" text="П">
      <formula>NOT(ISERROR(SEARCH("П",O18)))</formula>
    </cfRule>
    <cfRule type="containsText" dxfId="35" priority="10" operator="containsText" text="М">
      <formula>NOT(ISERROR(SEARCH("М",O18)))</formula>
    </cfRule>
  </conditionalFormatting>
  <conditionalFormatting sqref="T18 AC18">
    <cfRule type="containsText" dxfId="34" priority="5" operator="containsText" text="М">
      <formula>NOT(ISERROR(SEARCH("М",T18)))</formula>
    </cfRule>
    <cfRule type="containsText" dxfId="33" priority="6" operator="containsText" text="Ох">
      <formula>NOT(ISERROR(SEARCH("Ох",T18)))</formula>
    </cfRule>
    <cfRule type="containsText" dxfId="32" priority="7" operator="containsText" text="Ц">
      <formula>NOT(ISERROR(SEARCH("Ц",T18)))</formula>
    </cfRule>
    <cfRule type="containsText" dxfId="31" priority="1" operator="containsText" text="Р">
      <formula>NOT(ISERROR(SEARCH("Р",T18)))</formula>
    </cfRule>
    <cfRule type="containsText" dxfId="30" priority="2" operator="containsText" text="П">
      <formula>NOT(ISERROR(SEARCH("П",T18)))</formula>
    </cfRule>
    <cfRule type="containsText" dxfId="29" priority="3" operator="containsText" text="Оз">
      <formula>NOT(ISERROR(SEARCH("Оз",T18)))</formula>
    </cfRule>
    <cfRule type="containsText" dxfId="28" priority="4" operator="containsText" text="А">
      <formula>NOT(ISERROR(SEARCH("А",T18)))</formula>
    </cfRule>
  </conditionalFormatting>
  <conditionalFormatting sqref="V14">
    <cfRule type="containsText" dxfId="27" priority="22" operator="containsText" text="Оз">
      <formula>NOT(ISERROR(SEARCH("Оз",V14)))</formula>
    </cfRule>
    <cfRule type="containsText" dxfId="26" priority="20" operator="containsText" text="Р">
      <formula>NOT(ISERROR(SEARCH("Р",V14)))</formula>
    </cfRule>
    <cfRule type="containsText" dxfId="25" priority="23" operator="containsText" text="А">
      <formula>NOT(ISERROR(SEARCH("А",V14)))</formula>
    </cfRule>
    <cfRule type="containsText" dxfId="24" priority="21" operator="containsText" text="П">
      <formula>NOT(ISERROR(SEARCH("П",V14)))</formula>
    </cfRule>
    <cfRule type="containsText" dxfId="23" priority="26" operator="containsText" text="Ц">
      <formula>NOT(ISERROR(SEARCH("Ц",V14)))</formula>
    </cfRule>
    <cfRule type="containsText" dxfId="22" priority="25" operator="containsText" text="Ох">
      <formula>NOT(ISERROR(SEARCH("Ох",V14)))</formula>
    </cfRule>
    <cfRule type="containsText" dxfId="21" priority="24" operator="containsText" text="М">
      <formula>NOT(ISERROR(SEARCH("М",V14)))</formula>
    </cfRule>
  </conditionalFormatting>
  <conditionalFormatting sqref="AD14">
    <cfRule type="containsText" dxfId="20" priority="19" operator="containsText" text="Ц">
      <formula>NOT(ISERROR(SEARCH("Ц",AD14)))</formula>
    </cfRule>
    <cfRule type="containsText" dxfId="19" priority="18" operator="containsText" text="Ох">
      <formula>NOT(ISERROR(SEARCH("Ох",AD14)))</formula>
    </cfRule>
    <cfRule type="containsText" dxfId="18" priority="17" operator="containsText" text="М">
      <formula>NOT(ISERROR(SEARCH("М",AD14)))</formula>
    </cfRule>
    <cfRule type="containsText" dxfId="17" priority="16" operator="containsText" text="А">
      <formula>NOT(ISERROR(SEARCH("А",AD14)))</formula>
    </cfRule>
    <cfRule type="containsText" dxfId="16" priority="15" operator="containsText" text="Оз">
      <formula>NOT(ISERROR(SEARCH("Оз",AD14)))</formula>
    </cfRule>
    <cfRule type="containsText" dxfId="15" priority="14" operator="containsText" text="П">
      <formula>NOT(ISERROR(SEARCH("П",AD14)))</formula>
    </cfRule>
    <cfRule type="containsText" dxfId="14" priority="13" operator="containsText" text="Р">
      <formula>NOT(ISERROR(SEARCH("Р",AD14)))</formula>
    </cfRule>
  </conditionalFormatting>
  <conditionalFormatting sqref="AG9">
    <cfRule type="containsText" dxfId="13" priority="37" operator="containsText" text="Ох">
      <formula>NOT(ISERROR(SEARCH("Ох",AG9)))</formula>
    </cfRule>
    <cfRule type="containsText" dxfId="12" priority="36" operator="containsText" text="М">
      <formula>NOT(ISERROR(SEARCH("М",AG9)))</formula>
    </cfRule>
    <cfRule type="containsText" dxfId="11" priority="35" operator="containsText" text="Оз">
      <formula>NOT(ISERROR(SEARCH("Оз",AG9)))</formula>
    </cfRule>
    <cfRule type="containsText" dxfId="10" priority="34" operator="containsText" text="П">
      <formula>NOT(ISERROR(SEARCH("П",AG9)))</formula>
    </cfRule>
    <cfRule type="containsText" dxfId="9" priority="38" operator="containsText" text="Ц">
      <formula>NOT(ISERROR(SEARCH("Ц",AG9)))</formula>
    </cfRule>
  </conditionalFormatting>
  <conditionalFormatting sqref="AG16">
    <cfRule type="containsText" dxfId="8" priority="44" operator="containsText" text="Ох">
      <formula>NOT(ISERROR(SEARCH("Ох",AG16)))</formula>
    </cfRule>
    <cfRule type="containsText" dxfId="7" priority="45" operator="containsText" text="Ц">
      <formula>NOT(ISERROR(SEARCH("Ц",AG16)))</formula>
    </cfRule>
    <cfRule type="containsText" dxfId="6" priority="41" operator="containsText" text="Оз">
      <formula>NOT(ISERROR(SEARCH("Оз",AG16)))</formula>
    </cfRule>
    <cfRule type="containsText" dxfId="5" priority="42" operator="containsText" text="А">
      <formula>NOT(ISERROR(SEARCH("А",AG16)))</formula>
    </cfRule>
    <cfRule type="containsText" dxfId="4" priority="43" operator="containsText" text="М">
      <formula>NOT(ISERROR(SEARCH("М",AG16)))</formula>
    </cfRule>
    <cfRule type="containsText" dxfId="3" priority="39" operator="containsText" text="Р">
      <formula>NOT(ISERROR(SEARCH("Р",AG16)))</formula>
    </cfRule>
    <cfRule type="containsText" dxfId="2" priority="40" operator="containsText" text="П">
      <formula>NOT(ISERROR(SEARCH("П",AG16)))</formula>
    </cfRule>
  </conditionalFormatting>
  <conditionalFormatting sqref="AJ23:AJ29">
    <cfRule type="colorScale" priority="73">
      <colorScale>
        <cfvo type="formula" val="&quot;&gt;=30&quot;"/>
        <cfvo type="formula" val="&quot;&lt;30&quot;"/>
        <color rgb="FF00B050"/>
        <color rgb="FFFFEF9C"/>
      </colorScale>
    </cfRule>
    <cfRule type="cellIs" dxfId="1" priority="71" operator="lessThan">
      <formula>30</formula>
    </cfRule>
    <cfRule type="cellIs" dxfId="0" priority="72" operator="greaterThanOrEqual">
      <formula>30</formula>
    </cfRule>
  </conditionalFormatting>
  <conditionalFormatting sqref="AS3:AT21">
    <cfRule type="dataBar" priority="56">
      <dataBar>
        <cfvo type="min"/>
        <cfvo type="max"/>
        <color rgb="FFFF555A"/>
      </dataBar>
    </cfRule>
  </conditionalFormatting>
  <conditionalFormatting sqref="AU3:AX21">
    <cfRule type="dataBar" priority="55">
      <dataBar>
        <cfvo type="min"/>
        <cfvo type="max"/>
        <color rgb="FF63C384"/>
      </dataBar>
    </cfRule>
  </conditionalFormatting>
  <conditionalFormatting sqref="AY3:CL3 BS4:BV19 CA4:CD18 CE4:CL21 BW4:BZ21 AY4:BR21">
    <cfRule type="dataBar" priority="54">
      <dataBar>
        <cfvo type="min"/>
        <cfvo type="max"/>
        <color rgb="FF638EC6"/>
      </dataBar>
    </cfRule>
  </conditionalFormatting>
  <conditionalFormatting sqref="CQ3:CT21">
    <cfRule type="dataBar" priority="53">
      <dataBar>
        <cfvo type="min"/>
        <cfvo type="max"/>
        <color rgb="FFFFB628"/>
      </dataBar>
    </cfRule>
  </conditionalFormatting>
  <dataValidations count="4">
    <dataValidation type="list" allowBlank="1" showInputMessage="1" showErrorMessage="1" sqref="AM3:AM21" xr:uid="{F15CE57E-7816-487F-957E-151A681041C2}">
      <formula1>"0%, 5%, 8%"</formula1>
    </dataValidation>
    <dataValidation type="list" allowBlank="1" showInputMessage="1" showErrorMessage="1" sqref="AL3:AL21" xr:uid="{E372B3B2-0C64-4824-A4D7-FFFE6359A827}">
      <formula1>"1%, 2%, 0%"</formula1>
    </dataValidation>
    <dataValidation type="list" allowBlank="1" showInputMessage="1" showErrorMessage="1" sqref="AS38 C38:C43 AS31" xr:uid="{A2A8D265-5595-42D8-AB2C-C984AEDA96D5}">
      <formula1>"1%, 2%"</formula1>
    </dataValidation>
    <dataValidation type="list" allowBlank="1" showInputMessage="1" showErrorMessage="1" sqref="AT38 D38:D43 AT31" xr:uid="{6D7FBF4C-9A10-458F-9CF2-BF3EE937341B}">
      <formula1>"5%, 8%"</formula1>
    </dataValidation>
  </dataValidations>
  <pageMargins left="0.7" right="0.7" top="0.75" bottom="0.75" header="0.3" footer="0.3"/>
  <pageSetup paperSize="9" scale="17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ЯНВАРЬ</vt:lpstr>
      <vt:lpstr>ФЕВРАЛЬ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HR</dc:creator>
  <cp:lastModifiedBy>Никита HR</cp:lastModifiedBy>
  <dcterms:created xsi:type="dcterms:W3CDTF">2025-12-30T11:44:04Z</dcterms:created>
  <dcterms:modified xsi:type="dcterms:W3CDTF">2026-02-02T14:58:45Z</dcterms:modified>
</cp:coreProperties>
</file>